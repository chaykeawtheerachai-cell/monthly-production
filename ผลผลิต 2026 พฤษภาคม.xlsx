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4" autoFilterDateGrouping="1"/>
  </bookViews>
  <sheets>
    <sheet name="May (Oven1)" sheetId="1" state="visible" r:id="rId1"/>
    <sheet name="May (Oven2)" sheetId="2" state="visible" r:id="rId2"/>
    <sheet name="May (Feed)" sheetId="3" state="visible" r:id="rId3"/>
    <sheet name="May (Germ)" sheetId="4" state="visible" r:id="rId4"/>
    <sheet name="May (Meal)" sheetId="5" state="visible" r:id="rId5"/>
    <sheet name="May (HSW)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/m/yy;@"/>
    <numFmt numFmtId="165" formatCode="0.0"/>
  </numFmts>
  <fonts count="6">
    <font>
      <name val="Calibri"/>
      <charset val="222"/>
      <family val="2"/>
      <color theme="1"/>
      <sz val="11"/>
      <scheme val="minor"/>
    </font>
    <font>
      <name val="TH Sarabun New"/>
      <family val="2"/>
      <color theme="1"/>
      <sz val="16"/>
    </font>
    <font>
      <name val="TH Sarabun New"/>
      <family val="2"/>
      <color theme="1"/>
      <sz val="11"/>
    </font>
    <font>
      <name val="TH Sarabun New"/>
      <family val="2"/>
      <color theme="1"/>
      <sz val="14"/>
    </font>
    <font>
      <name val="TH Sarabun New"/>
      <family val="2"/>
      <color theme="1"/>
      <sz val="12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49" fontId="2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2" fontId="2" fillId="0" borderId="2" applyAlignment="1" pivotButton="0" quotePrefix="0" xfId="0">
      <alignment horizontal="center" vertical="center"/>
    </xf>
    <xf numFmtId="49" fontId="3" fillId="2" borderId="2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2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4" fillId="0" borderId="0" pivotButton="0" quotePrefix="0" xfId="0"/>
    <xf numFmtId="164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3" fillId="0" borderId="0" pivotButton="0" quotePrefix="0" xfId="0"/>
    <xf numFmtId="49" fontId="2" fillId="0" borderId="3" applyAlignment="1" pivotButton="0" quotePrefix="0" xfId="0">
      <alignment horizontal="center" vertical="center"/>
    </xf>
    <xf numFmtId="38" fontId="2" fillId="0" borderId="1" applyAlignment="1" pivotButton="0" quotePrefix="0" xfId="0">
      <alignment horizontal="center" vertical="center"/>
    </xf>
    <xf numFmtId="40" fontId="0" fillId="0" borderId="1" applyAlignment="1" pivotButton="0" quotePrefix="0" xfId="0">
      <alignment horizontal="center" vertical="center"/>
    </xf>
    <xf numFmtId="38" fontId="5" fillId="0" borderId="1" applyAlignment="1" pivotButton="0" quotePrefix="0" xfId="0">
      <alignment horizontal="center" vertical="center"/>
    </xf>
    <xf numFmtId="40" fontId="5" fillId="0" borderId="1" applyAlignment="1" pivotButton="0" quotePrefix="0" xfId="0">
      <alignment horizontal="center" vertical="center"/>
    </xf>
  </cellXfs>
  <cellStyles count="1">
    <cellStyle name="Normal" xfId="0" builtinId="0"/>
  </cellStyles>
  <dxfs count="63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8"/>
        </left>
        <right/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6" formatCode="#,##0;[Red]\-#,##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d/m/yy;@"/>
      <alignment horizontal="center" vertical="center"/>
      <border outline="0">
        <left/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thin">
          <color rgb="FF000000"/>
        </bottom>
      </border>
    </dxf>
    <dxf>
      <font>
        <name val="TH Sarabun New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strike val="0"/>
        <outline val="0"/>
        <shadow val="0"/>
        <color theme="1"/>
        <sz val="11"/>
        <vertAlign val="baseline"/>
      </font>
      <alignment horizontal="center" vertical="center"/>
      <border>
        <left style="thin">
          <color theme="8"/>
        </left>
        <right style="thin">
          <color theme="8"/>
        </right>
        <top/>
        <bottom/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8"/>
        </left>
        <right/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6" formatCode="#,##0;[Red]\-#,##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d/m/yy;@"/>
      <alignment horizontal="center" vertical="center"/>
      <border outline="0">
        <left/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thin">
          <color rgb="FF000000"/>
        </bottom>
      </border>
    </dxf>
    <dxf>
      <font>
        <name val="TH Sarabun New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strike val="0"/>
        <outline val="0"/>
        <shadow val="0"/>
        <color theme="1"/>
        <sz val="11"/>
        <vertAlign val="baseline"/>
      </font>
      <alignment horizontal="center" vertical="center"/>
      <border>
        <left style="thin">
          <color theme="8"/>
        </left>
        <right style="thin">
          <color theme="8"/>
        </right>
        <top/>
        <bottom/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8"/>
        </left>
        <right/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6" formatCode="#,##0;[Red]\-#,##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d/m/yy;@"/>
      <alignment horizontal="center" vertical="center"/>
      <border outline="0">
        <left/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thin">
          <color rgb="FF000000"/>
        </bottom>
      </border>
    </dxf>
    <dxf>
      <font>
        <name val="TH Sarabun New"/>
        <family val="2"/>
        <strike val="0"/>
        <outline val="0"/>
        <shadow val="0"/>
        <condense val="0"/>
        <color rgb="FF000000"/>
        <extend val="0"/>
        <sz val="11"/>
        <vertAlign val="baseline"/>
      </font>
      <alignment horizontal="center" vertical="center"/>
    </dxf>
    <dxf>
      <font>
        <strike val="0"/>
        <outline val="0"/>
        <shadow val="0"/>
        <color theme="1"/>
        <sz val="11"/>
        <vertAlign val="baseline"/>
      </font>
      <alignment horizontal="center" vertical="center"/>
      <border>
        <left style="thin">
          <color theme="8"/>
        </left>
        <right style="thin">
          <color theme="8"/>
        </right>
        <top/>
        <bottom/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8"/>
        </left>
        <right/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6" formatCode="#,##0;[Red]\-#,##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d/m/yy;@"/>
      <alignment horizontal="center" vertical="center"/>
      <border outline="0">
        <left/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border outline="0">
        <bottom style="thin">
          <color indexed="64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 outline="0">
        <left style="thin">
          <color theme="8"/>
        </left>
        <right style="thin">
          <color theme="8"/>
        </right>
        <top/>
        <bottom/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30" formatCode="@"/>
      <alignment horizontal="center" vertical="center"/>
      <border>
        <left style="thin">
          <color theme="8"/>
        </left>
        <right/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6" formatCode="#,##0;[Red]\-#,##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2" formatCode="0.00"/>
      <alignment horizontal="center" vertical="center"/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4" formatCode="d/m/yy;@"/>
      <alignment horizontal="center" vertical="center"/>
      <border outline="0">
        <left/>
        <right style="thin">
          <color theme="8"/>
        </right>
        <top style="thin">
          <color theme="8"/>
        </top>
        <bottom style="thin">
          <color theme="8"/>
        </bottom>
      </border>
    </dxf>
    <dxf>
      <border outline="0">
        <bottom style="thin">
          <color indexed="64"/>
        </bottom>
      </border>
    </dxf>
    <dxf>
      <font>
        <name val="TH Sarabun New"/>
        <family val="2"/>
        <strike val="0"/>
        <outline val="0"/>
        <shadow val="0"/>
        <condense val="0"/>
        <color theme="1"/>
        <extend val="0"/>
        <sz val="11"/>
        <vertAlign val="baseline"/>
      </font>
      <alignment horizontal="center" vertical="center"/>
    </dxf>
    <dxf>
      <font>
        <strike val="0"/>
        <outline val="0"/>
        <shadow val="0"/>
        <color theme="1"/>
        <sz val="11"/>
        <vertAlign val="baseline"/>
      </font>
      <alignment horizontal="center" vertical="center"/>
      <border>
        <left style="thin">
          <color theme="8"/>
        </left>
        <right style="thin">
          <color theme="8"/>
        </right>
        <top/>
        <bottom/>
        <vertical style="thin">
          <color theme="8"/>
        </vertical>
        <horizontal style="thin">
          <color theme="8"/>
        </horizontal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1" displayName="Table1" ref="B3:I34" headerRowCount="1" totalsRowShown="0" headerRowDxfId="62" dataDxfId="61" tableBorderDxfId="60">
  <autoFilter ref="B3:I34"/>
  <tableColumns count="8">
    <tableColumn id="1" name="วันที่ผลิต" dataDxfId="59"/>
    <tableColumn id="2" name="แผนผลิต (ตัน)" dataDxfId="58"/>
    <tableColumn id="3" name="ผลิตได้ (ตัน)" dataDxfId="57"/>
    <tableColumn id="4" name="จำนวนผสมแป้ง (ตัน)" dataDxfId="56"/>
    <tableColumn id="5" name="ผลผลิตที่หักแป้งผสม (ตัน)" dataDxfId="55">
      <calculatedColumnFormula>D4-E4</calculatedColumnFormula>
    </tableColumn>
    <tableColumn id="6" name="ส่วนต่าง (ตัน)" dataDxfId="54">
      <calculatedColumnFormula>F4-C4</calculatedColumnFormula>
    </tableColumn>
    <tableColumn id="7" name="เวลาหยุดเครื่อง (นาที)" dataDxfId="53"/>
    <tableColumn id="8" name="หมายเหตุ" dataDxfId="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3:I34" headerRowCount="1" totalsRowShown="0" headerRowDxfId="51" dataDxfId="49" headerRowBorderDxfId="50" tableBorderDxfId="48" totalsRowBorderDxfId="47">
  <autoFilter ref="B3:I34"/>
  <tableColumns count="8">
    <tableColumn id="1" name="วันที่ผลิต" dataDxfId="46"/>
    <tableColumn id="2" name="แผนผลิต (ตัน)" dataDxfId="45"/>
    <tableColumn id="3" name="ผลิตได้ (ตัน)" dataDxfId="44"/>
    <tableColumn id="4" name="จำนวนผสมแป้ง (ตัน)" dataDxfId="43"/>
    <tableColumn id="5" name="ผลผลิตที่หักแป้งผสม (ตัน)" dataDxfId="42">
      <calculatedColumnFormula>D4-E4</calculatedColumnFormula>
    </tableColumn>
    <tableColumn id="6" name="ส่วนต่าง (ตัน)" dataDxfId="41">
      <calculatedColumnFormula>F4-C4</calculatedColumnFormula>
    </tableColumn>
    <tableColumn id="7" name="เวลาหยุดเครื่อง (นาที)" dataDxfId="40"/>
    <tableColumn id="8" name="หมายเหตุ" dataDxfId="3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17" displayName="Table17" ref="B3:I34" headerRowCount="1" totalsRowShown="0" headerRowDxfId="38" dataDxfId="37" tableBorderDxfId="36">
  <autoFilter ref="B3:I34"/>
  <tableColumns count="8">
    <tableColumn id="1" name="วันที่ผลิต" dataDxfId="35"/>
    <tableColumn id="2" name="แผนผลิต (ตัน)" dataDxfId="34"/>
    <tableColumn id="3" name="ผลิตได้ (ตัน)" dataDxfId="33"/>
    <tableColumn id="4" name="จำนวนผสมกาก (ตัน)" dataDxfId="32"/>
    <tableColumn id="5" name="ผลผลิตที่หักกากผสม (ตัน)" dataDxfId="31">
      <calculatedColumnFormula>D4-E4</calculatedColumnFormula>
    </tableColumn>
    <tableColumn id="6" name="ส่วนต่าง (ตัน)" dataDxfId="30">
      <calculatedColumnFormula>F4-C4</calculatedColumnFormula>
    </tableColumn>
    <tableColumn id="7" name="เวลาหยุดเครื่อง (นาที)" dataDxfId="29"/>
    <tableColumn id="8" name="หมายเหตุ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178" displayName="Table178" ref="B3:I34" headerRowCount="1" totalsRowShown="0" headerRowDxfId="27" dataDxfId="26" tableBorderDxfId="25">
  <autoFilter ref="B3:I34"/>
  <tableColumns count="8">
    <tableColumn id="1" name="วันที่ผลิต" dataDxfId="24"/>
    <tableColumn id="2" name="แผนผลิต (ตัน)" dataDxfId="23"/>
    <tableColumn id="3" name="ผลิตได้ (ตัน)" dataDxfId="22"/>
    <tableColumn id="4" name="จำนวนผสมเยอม (ตัน)" dataDxfId="21"/>
    <tableColumn id="5" name="ผลผลิตที่หักเยอมผสม (ตัน)" dataDxfId="20">
      <calculatedColumnFormula>D4-E4</calculatedColumnFormula>
    </tableColumn>
    <tableColumn id="6" name="ส่วนต่าง (ตัน)" dataDxfId="19">
      <calculatedColumnFormula>F4-C4</calculatedColumnFormula>
    </tableColumn>
    <tableColumn id="7" name="เวลาหยุดเครื่อง (นาที)" dataDxfId="18"/>
    <tableColumn id="8" name="หมายเหตุ" dataDxfId="1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1789" displayName="Table1789" ref="B3:I34" headerRowCount="1" totalsRowShown="0" headerRowDxfId="16" dataDxfId="15" tableBorderDxfId="14">
  <autoFilter ref="B3:I34"/>
  <tableColumns count="8">
    <tableColumn id="1" name="วันที่ผลิต" dataDxfId="13"/>
    <tableColumn id="2" name="แผนผลิต (ตัน)" dataDxfId="12"/>
    <tableColumn id="3" name="ผลิตได้ (ตัน)" dataDxfId="11"/>
    <tableColumn id="4" name="จำนวนผสมเยอม (ตัน)" dataDxfId="10"/>
    <tableColumn id="5" name="ผลผลิตที่หักเยอมผสม (ตัน)" dataDxfId="9">
      <calculatedColumnFormula>D4-E4</calculatedColumnFormula>
    </tableColumn>
    <tableColumn id="6" name="ส่วนต่าง (ตัน)" dataDxfId="8">
      <calculatedColumnFormula>F4-C4</calculatedColumnFormula>
    </tableColumn>
    <tableColumn id="7" name="เวลาหยุดเครื่อง (นาที)" dataDxfId="7"/>
    <tableColumn id="8" name="หมายเหตุ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topLeftCell="A25" zoomScale="85" zoomScaleNormal="85" workbookViewId="0">
      <selection activeCell="I38" sqref="I38"/>
    </sheetView>
  </sheetViews>
  <sheetFormatPr baseColWidth="8" defaultRowHeight="14.5"/>
  <cols>
    <col width="2.6328125" customWidth="1" min="1" max="1"/>
    <col width="14.6328125" customWidth="1" min="2" max="2"/>
    <col width="18.6328125" customWidth="1" min="3" max="4"/>
    <col width="20.6328125" customWidth="1" min="5" max="5"/>
    <col width="22.6328125" customWidth="1" min="6" max="6"/>
    <col width="14.6328125" customWidth="1" min="7" max="7"/>
    <col width="20.6328125" customWidth="1" min="8" max="8"/>
    <col width="58.6328125" customWidth="1" min="9" max="9"/>
  </cols>
  <sheetData>
    <row r="1"/>
    <row r="2" ht="24" customHeight="1">
      <c r="B2" s="1" t="inlineStr">
        <is>
          <t>เตาอบแป้ง 1</t>
        </is>
      </c>
      <c r="C2" s="1" t="inlineStr">
        <is>
          <t>เดือน พฤษภาคม 2569</t>
        </is>
      </c>
    </row>
    <row r="3" ht="17" customHeight="1">
      <c r="B3" s="2" t="inlineStr">
        <is>
          <t>วันที่ผลิต</t>
        </is>
      </c>
      <c r="C3" s="2" t="inlineStr">
        <is>
          <t>แผนผลิต (ตัน)</t>
        </is>
      </c>
      <c r="D3" s="3" t="inlineStr">
        <is>
          <t>ผลิตได้ (ตัน)</t>
        </is>
      </c>
      <c r="E3" s="4" t="inlineStr">
        <is>
          <t>จำนวนผสมแป้ง (ตัน)</t>
        </is>
      </c>
      <c r="F3" s="4" t="inlineStr">
        <is>
          <t>ผลผลิตที่หักแป้งผสม (ตัน)</t>
        </is>
      </c>
      <c r="G3" s="4" t="inlineStr">
        <is>
          <t>ส่วนต่าง (ตัน)</t>
        </is>
      </c>
      <c r="H3" s="4" t="inlineStr">
        <is>
          <t>เวลาหยุดเครื่อง (นาที)</t>
        </is>
      </c>
      <c r="I3" s="4" t="inlineStr">
        <is>
          <t>หมายเหตุ</t>
        </is>
      </c>
    </row>
    <row r="4" ht="17" customHeight="1">
      <c r="B4" s="5" t="n">
        <v>46143</v>
      </c>
      <c r="C4" s="6" t="n">
        <v>45</v>
      </c>
      <c r="D4" s="6" t="n">
        <v>44.4</v>
      </c>
      <c r="E4" s="6" t="n">
        <v>0</v>
      </c>
      <c r="F4" s="6" t="n">
        <v>44.4</v>
      </c>
      <c r="G4" s="6" t="n">
        <v>-0.6000000000000014</v>
      </c>
      <c r="H4" s="21" t="n">
        <v>0</v>
      </c>
      <c r="I4" s="2" t="inlineStr">
        <is>
          <t>01.30 น. เปิดเตาอบแป้ง</t>
        </is>
      </c>
    </row>
    <row r="5" ht="17" customHeight="1">
      <c r="B5" s="5" t="n">
        <v>46144</v>
      </c>
      <c r="C5" s="6" t="n">
        <v>45</v>
      </c>
      <c r="D5" s="6" t="n">
        <v>33.8</v>
      </c>
      <c r="E5" s="6" t="n">
        <v>0</v>
      </c>
      <c r="F5" s="6">
        <f>D5-E5</f>
        <v/>
      </c>
      <c r="G5" s="6">
        <f>F5-C5</f>
        <v/>
      </c>
      <c r="H5" s="21" t="n">
        <v>410</v>
      </c>
      <c r="I5" s="2" t="inlineStr">
        <is>
          <t>15.50-22.40 น. ปิดเตาอบแป้ง 1 เบรคเกอร์ SW มีปัญหาตัดการทำงานหลายครั้ง</t>
        </is>
      </c>
    </row>
    <row r="6" ht="17" customHeight="1">
      <c r="B6" s="5" t="n">
        <v>46145</v>
      </c>
      <c r="C6" s="6" t="n">
        <v>45</v>
      </c>
      <c r="D6" s="6" t="n">
        <v>50.6</v>
      </c>
      <c r="E6" s="6" t="n">
        <v>1.7</v>
      </c>
      <c r="F6" s="6">
        <f>D6-E6</f>
        <v/>
      </c>
      <c r="G6" s="6">
        <f>F6-C6</f>
        <v/>
      </c>
      <c r="H6" s="21" t="n">
        <v>0</v>
      </c>
      <c r="I6" s="2" t="inlineStr">
        <is>
          <t xml:space="preserve"> -</t>
        </is>
      </c>
    </row>
    <row r="7" ht="17" customHeight="1">
      <c r="B7" s="5" t="n">
        <v>46146</v>
      </c>
      <c r="C7" s="6" t="n">
        <v>45</v>
      </c>
      <c r="D7" s="6" t="n">
        <v>55</v>
      </c>
      <c r="E7" s="6" t="n">
        <v>5.1</v>
      </c>
      <c r="F7" s="6">
        <f>D7-E7</f>
        <v/>
      </c>
      <c r="G7" s="6">
        <f>F7-C7</f>
        <v/>
      </c>
      <c r="H7" s="21" t="n">
        <v>0</v>
      </c>
      <c r="I7" s="2" t="inlineStr">
        <is>
          <t xml:space="preserve"> -</t>
        </is>
      </c>
    </row>
    <row r="8" ht="17" customHeight="1">
      <c r="B8" s="5" t="n">
        <v>46147</v>
      </c>
      <c r="C8" s="6" t="n">
        <v>11</v>
      </c>
      <c r="D8" s="6" t="n">
        <v>11</v>
      </c>
      <c r="E8" s="6" t="n">
        <v>0</v>
      </c>
      <c r="F8" s="6">
        <f>D8-E8</f>
        <v/>
      </c>
      <c r="G8" s="6">
        <f>F8-C8</f>
        <v/>
      </c>
      <c r="H8" s="21" t="n">
        <v>1115</v>
      </c>
      <c r="I8" s="2" t="inlineStr">
        <is>
          <t>23.45-18.20 น. ไฟฟ้าดับ (ของการไฟฟ้า)</t>
        </is>
      </c>
    </row>
    <row r="9" ht="17" customHeight="1">
      <c r="B9" s="5" t="n">
        <v>46148</v>
      </c>
      <c r="C9" s="6" t="n">
        <v>45</v>
      </c>
      <c r="D9" s="6" t="n">
        <v>55</v>
      </c>
      <c r="E9" s="6" t="n">
        <v>5.1</v>
      </c>
      <c r="F9" s="6">
        <f>D9-E9</f>
        <v/>
      </c>
      <c r="G9" s="6">
        <f>F9-C9</f>
        <v/>
      </c>
      <c r="H9" s="21" t="n">
        <v>0</v>
      </c>
      <c r="I9" s="2" t="inlineStr">
        <is>
          <t xml:space="preserve"> -</t>
        </is>
      </c>
    </row>
    <row r="10" ht="17" customHeight="1">
      <c r="B10" s="5" t="n">
        <v>46149</v>
      </c>
      <c r="C10" s="6" t="n">
        <v>45</v>
      </c>
      <c r="D10" s="6" t="n">
        <v>55</v>
      </c>
      <c r="E10" s="6" t="n">
        <v>5.1</v>
      </c>
      <c r="F10" s="6">
        <f>D10-E10</f>
        <v/>
      </c>
      <c r="G10" s="6">
        <f>F10-C10</f>
        <v/>
      </c>
      <c r="H10" s="21" t="n">
        <v>0</v>
      </c>
      <c r="I10" s="2" t="inlineStr">
        <is>
          <t xml:space="preserve"> -</t>
        </is>
      </c>
    </row>
    <row r="11" ht="17" customHeight="1">
      <c r="B11" s="5" t="n">
        <v>46150</v>
      </c>
      <c r="C11" s="6" t="n">
        <v>45</v>
      </c>
      <c r="D11" s="6" t="n">
        <v>51.25</v>
      </c>
      <c r="E11" s="6" t="n">
        <v>2.25</v>
      </c>
      <c r="F11" s="6">
        <f>D11-E11</f>
        <v/>
      </c>
      <c r="G11" s="6">
        <f>F11-C11</f>
        <v/>
      </c>
      <c r="H11" s="21" t="n">
        <v>0</v>
      </c>
      <c r="I11" s="2" t="inlineStr">
        <is>
          <t xml:space="preserve"> -</t>
        </is>
      </c>
    </row>
    <row r="12" ht="17" customHeight="1">
      <c r="B12" s="5" t="n">
        <v>46151</v>
      </c>
      <c r="C12" s="6" t="n">
        <v>45</v>
      </c>
      <c r="D12" s="6" t="n">
        <v>55.45</v>
      </c>
      <c r="E12" s="6" t="n">
        <v>5.1</v>
      </c>
      <c r="F12" s="6">
        <f>D12-E12</f>
        <v/>
      </c>
      <c r="G12" s="6">
        <f>F12-C12</f>
        <v/>
      </c>
      <c r="H12" s="21" t="n">
        <v>0</v>
      </c>
      <c r="I12" s="2" t="inlineStr">
        <is>
          <t xml:space="preserve"> -</t>
        </is>
      </c>
    </row>
    <row r="13" ht="17" customHeight="1">
      <c r="B13" s="5" t="n">
        <v>46152</v>
      </c>
      <c r="C13" s="6" t="n">
        <v>45</v>
      </c>
      <c r="D13" s="6" t="n">
        <v>55</v>
      </c>
      <c r="E13" s="6" t="n">
        <v>5.1</v>
      </c>
      <c r="F13" s="6">
        <f>D13-E13</f>
        <v/>
      </c>
      <c r="G13" s="6">
        <f>F13-C13</f>
        <v/>
      </c>
      <c r="H13" s="21" t="n">
        <v>0</v>
      </c>
      <c r="I13" s="20" t="inlineStr">
        <is>
          <t xml:space="preserve"> -</t>
        </is>
      </c>
    </row>
    <row r="14" ht="17" customHeight="1">
      <c r="B14" s="5" t="n">
        <v>46153</v>
      </c>
      <c r="C14" s="6" t="n">
        <v>45</v>
      </c>
      <c r="D14" s="6" t="n">
        <v>47.1</v>
      </c>
      <c r="E14" s="6" t="n">
        <v>3.4</v>
      </c>
      <c r="F14" s="6">
        <f>D14-E14</f>
        <v/>
      </c>
      <c r="G14" s="6">
        <f>F14-C14</f>
        <v/>
      </c>
      <c r="H14" s="21" t="n">
        <v>180</v>
      </c>
      <c r="I14" s="20" t="inlineStr">
        <is>
          <t>20.40-23.40 น. ปิดเตาอบแป้งหยุดล้างสกรูมิกเซอร์</t>
        </is>
      </c>
    </row>
    <row r="15" ht="17" customHeight="1">
      <c r="B15" s="5" t="n">
        <v>46154</v>
      </c>
      <c r="C15" s="6" t="n">
        <v>45</v>
      </c>
      <c r="D15" s="6" t="n">
        <v>49.65</v>
      </c>
      <c r="E15" s="6" t="n">
        <v>0</v>
      </c>
      <c r="F15" s="6">
        <f>D15-E15</f>
        <v/>
      </c>
      <c r="G15" s="6">
        <f>F15-C15</f>
        <v/>
      </c>
      <c r="H15" s="21" t="n">
        <v>0</v>
      </c>
      <c r="I15" s="20" t="inlineStr">
        <is>
          <t xml:space="preserve"> -</t>
        </is>
      </c>
    </row>
    <row r="16" ht="17" customHeight="1">
      <c r="B16" s="5" t="n">
        <v>46155</v>
      </c>
      <c r="C16" s="6" t="n">
        <v>45</v>
      </c>
      <c r="D16" s="6" t="n">
        <v>48.75</v>
      </c>
      <c r="E16" s="6" t="n">
        <v>0</v>
      </c>
      <c r="F16" s="6">
        <f>D16-E16</f>
        <v/>
      </c>
      <c r="G16" s="6">
        <f>F16-C16</f>
        <v/>
      </c>
      <c r="H16" s="21" t="n">
        <v>0</v>
      </c>
      <c r="I16" s="20" t="inlineStr">
        <is>
          <t xml:space="preserve"> -</t>
        </is>
      </c>
    </row>
    <row r="17" ht="17" customHeight="1">
      <c r="B17" s="5" t="n">
        <v>46156</v>
      </c>
      <c r="C17" s="6" t="n">
        <v>45</v>
      </c>
      <c r="D17" s="6" t="n">
        <v>27.6</v>
      </c>
      <c r="E17" s="6" t="n">
        <v>0</v>
      </c>
      <c r="F17" s="6">
        <f>D17-E17</f>
        <v/>
      </c>
      <c r="G17" s="6">
        <f>F17-C17</f>
        <v/>
      </c>
      <c r="H17" s="21" t="n">
        <v>655</v>
      </c>
      <c r="I17" s="20" t="inlineStr">
        <is>
          <t>11.10-22.05 น. ปิดเตาอบแป้ง 1 ล้างเครื่องเมอร์โก้เช็ค Nozzle ตัน</t>
        </is>
      </c>
    </row>
    <row r="18" ht="17" customHeight="1">
      <c r="B18" s="5" t="n">
        <v>46157</v>
      </c>
      <c r="C18" s="6" t="n">
        <v>45</v>
      </c>
      <c r="D18" s="6" t="n">
        <v>49.6</v>
      </c>
      <c r="E18" s="6" t="n">
        <v>0</v>
      </c>
      <c r="F18" s="6">
        <f>D18-E18</f>
        <v/>
      </c>
      <c r="G18" s="6">
        <f>F18-C18</f>
        <v/>
      </c>
      <c r="H18" s="21" t="n">
        <v>0</v>
      </c>
      <c r="I18" s="20" t="inlineStr">
        <is>
          <t xml:space="preserve"> -</t>
        </is>
      </c>
    </row>
    <row r="19" ht="17" customHeight="1">
      <c r="B19" s="5" t="n">
        <v>46158</v>
      </c>
      <c r="C19" s="6" t="n">
        <v>45</v>
      </c>
      <c r="D19" s="6" t="n">
        <v>33.35</v>
      </c>
      <c r="E19" s="6" t="n">
        <v>0</v>
      </c>
      <c r="F19" s="6">
        <f>D19-E19</f>
        <v/>
      </c>
      <c r="G19" s="6">
        <f>F19-C19</f>
        <v/>
      </c>
      <c r="H19" s="21" t="n">
        <v>490</v>
      </c>
      <c r="I19" s="20" t="inlineStr">
        <is>
          <t>15.50-24.00 น. ปิดเตาอบแป้ง 1 วนน้ำแป้งไปถัง R1 ,R2</t>
        </is>
      </c>
    </row>
    <row r="20" ht="17" customHeight="1">
      <c r="B20" s="5" t="n">
        <v>46159</v>
      </c>
      <c r="C20" s="6" t="n">
        <v>0</v>
      </c>
      <c r="D20" s="6" t="n">
        <v>0</v>
      </c>
      <c r="E20" s="6" t="n">
        <v>0</v>
      </c>
      <c r="F20" s="6">
        <f>D20-E20</f>
        <v/>
      </c>
      <c r="G20" s="6">
        <f>F20-C20</f>
        <v/>
      </c>
      <c r="H20" s="21" t="n">
        <v>0</v>
      </c>
      <c r="I20" s="20" t="inlineStr">
        <is>
          <t>24.00-24.00 น. ปิดเตาอบแป้ง 1 ทำแป้ง PURE-C</t>
        </is>
      </c>
    </row>
    <row r="21" ht="17" customHeight="1">
      <c r="B21" s="5" t="n">
        <v>46160</v>
      </c>
      <c r="C21" s="6" t="n">
        <v>0</v>
      </c>
      <c r="D21" s="6" t="n">
        <v>0</v>
      </c>
      <c r="E21" s="6" t="n">
        <v>0</v>
      </c>
      <c r="F21" s="6">
        <f>D21-E21</f>
        <v/>
      </c>
      <c r="G21" s="6">
        <f>F21-C21</f>
        <v/>
      </c>
      <c r="H21" s="21" t="n">
        <v>0</v>
      </c>
      <c r="I21" s="20" t="inlineStr">
        <is>
          <t>24.00-24.00 น. ปิดเตาอบแป้ง 1 ทำแป้ง PURE-C</t>
        </is>
      </c>
    </row>
    <row r="22" ht="17" customHeight="1">
      <c r="B22" s="5" t="n">
        <v>46161</v>
      </c>
      <c r="C22" s="6" t="n">
        <v>0</v>
      </c>
      <c r="D22" s="6" t="n">
        <v>0</v>
      </c>
      <c r="E22" s="6" t="n">
        <v>0</v>
      </c>
      <c r="F22" s="6">
        <f>D22-E22</f>
        <v/>
      </c>
      <c r="G22" s="6">
        <f>F22-C22</f>
        <v/>
      </c>
      <c r="H22" s="21" t="n">
        <v>0</v>
      </c>
      <c r="I22" s="20" t="inlineStr">
        <is>
          <t>24.00-23.35 น. ปิดเตาอบแป้ง 1 ทำแป้ง PURE-C</t>
        </is>
      </c>
    </row>
    <row r="23" ht="17" customHeight="1">
      <c r="B23" s="5" t="n">
        <v>46162</v>
      </c>
      <c r="C23" s="6" t="n">
        <v>45</v>
      </c>
      <c r="D23" s="6" t="n">
        <v>53.45</v>
      </c>
      <c r="E23" s="6" t="n">
        <v>0</v>
      </c>
      <c r="F23" s="6">
        <f>D23-E23</f>
        <v/>
      </c>
      <c r="G23" s="6">
        <f>F23-C23</f>
        <v/>
      </c>
      <c r="H23" s="21" t="n">
        <v>0</v>
      </c>
      <c r="I23" s="20" t="inlineStr">
        <is>
          <t>วันที่ 20/5/26 เวลา 23.35 น. เปิดเตาอบแป้ง 1</t>
        </is>
      </c>
    </row>
    <row r="24" ht="17" customHeight="1">
      <c r="B24" s="5" t="n">
        <v>46163</v>
      </c>
      <c r="C24" s="6" t="n">
        <v>45</v>
      </c>
      <c r="D24" s="6" t="n">
        <v>51</v>
      </c>
      <c r="E24" s="6" t="n">
        <v>0</v>
      </c>
      <c r="F24" s="6">
        <f>D24-E24</f>
        <v/>
      </c>
      <c r="G24" s="6">
        <f>F24-C24</f>
        <v/>
      </c>
      <c r="H24" s="21" t="n">
        <v>0</v>
      </c>
      <c r="I24" s="2" t="inlineStr">
        <is>
          <t xml:space="preserve"> -</t>
        </is>
      </c>
    </row>
    <row r="25" ht="17" customHeight="1">
      <c r="B25" s="5" t="n">
        <v>46164</v>
      </c>
      <c r="C25" s="6" t="n">
        <v>45</v>
      </c>
      <c r="D25" s="6" t="n">
        <v>48.45</v>
      </c>
      <c r="E25" s="6" t="n">
        <v>0.85</v>
      </c>
      <c r="F25" s="6">
        <f>D25-E25</f>
        <v/>
      </c>
      <c r="G25" s="6">
        <f>F25-C25</f>
        <v/>
      </c>
      <c r="H25" s="21" t="n">
        <v>0</v>
      </c>
      <c r="I25" s="2" t="inlineStr">
        <is>
          <t xml:space="preserve"> -</t>
        </is>
      </c>
    </row>
    <row r="26" ht="17" customHeight="1">
      <c r="B26" s="5" t="n">
        <v>46165</v>
      </c>
      <c r="C26" s="6" t="n">
        <v>45</v>
      </c>
      <c r="D26" s="6" t="n">
        <v>49.4</v>
      </c>
      <c r="E26" s="6" t="n">
        <v>0</v>
      </c>
      <c r="F26" s="6">
        <f>D26-E26</f>
        <v/>
      </c>
      <c r="G26" s="6">
        <f>F26-C26</f>
        <v/>
      </c>
      <c r="H26" s="21" t="n">
        <v>0</v>
      </c>
      <c r="I26" s="2" t="inlineStr">
        <is>
          <t xml:space="preserve"> -</t>
        </is>
      </c>
    </row>
    <row r="27" ht="17" customHeight="1">
      <c r="B27" s="5" t="n">
        <v>46166</v>
      </c>
      <c r="C27" s="6" t="n">
        <v>45</v>
      </c>
      <c r="D27" s="6" t="n">
        <v>49.2</v>
      </c>
      <c r="E27" s="6" t="n">
        <v>0</v>
      </c>
      <c r="F27" s="6">
        <f>D27-E27</f>
        <v/>
      </c>
      <c r="G27" s="6">
        <f>F27-C27</f>
        <v/>
      </c>
      <c r="H27" s="21" t="n">
        <v>0</v>
      </c>
      <c r="I27" s="2" t="inlineStr">
        <is>
          <t xml:space="preserve"> -</t>
        </is>
      </c>
    </row>
    <row r="28" ht="17" customHeight="1">
      <c r="B28" s="5" t="n">
        <v>46167</v>
      </c>
      <c r="C28" s="6" t="n">
        <v>34.25</v>
      </c>
      <c r="D28" s="6" t="n">
        <v>34.25</v>
      </c>
      <c r="E28" s="6" t="n">
        <v>0</v>
      </c>
      <c r="F28" s="6">
        <f>D28-E28</f>
        <v/>
      </c>
      <c r="G28" s="6">
        <f>F28-C28</f>
        <v/>
      </c>
      <c r="H28" s="21" t="n">
        <v>458</v>
      </c>
      <c r="I28" s="2" t="inlineStr">
        <is>
          <t>14.22-22.00 น. ไฟฟ้าดับ (ของการไฟฟ้า)</t>
        </is>
      </c>
    </row>
    <row r="29" ht="17" customHeight="1">
      <c r="B29" s="5" t="n">
        <v>46168</v>
      </c>
      <c r="C29" s="6" t="n">
        <v>45</v>
      </c>
      <c r="D29" s="6" t="n">
        <v>53.95</v>
      </c>
      <c r="E29" s="6" t="n">
        <v>1.7</v>
      </c>
      <c r="F29" s="6">
        <f>D29-E29</f>
        <v/>
      </c>
      <c r="G29" s="6">
        <f>F29-C29</f>
        <v/>
      </c>
      <c r="H29" s="21" t="n">
        <v>0</v>
      </c>
      <c r="I29" s="2" t="inlineStr">
        <is>
          <t xml:space="preserve"> -</t>
        </is>
      </c>
    </row>
    <row r="30" ht="17" customHeight="1">
      <c r="B30" s="5" t="n">
        <v>46169</v>
      </c>
      <c r="C30" s="6" t="n">
        <v>45</v>
      </c>
      <c r="D30" s="6" t="n">
        <v>55</v>
      </c>
      <c r="E30" s="6" t="n">
        <v>5.1</v>
      </c>
      <c r="F30" s="6">
        <f>D30-E30</f>
        <v/>
      </c>
      <c r="G30" s="6">
        <f>F30-C30</f>
        <v/>
      </c>
      <c r="H30" s="21" t="n">
        <v>0</v>
      </c>
      <c r="I30" s="2" t="inlineStr">
        <is>
          <t xml:space="preserve"> -</t>
        </is>
      </c>
    </row>
    <row r="31" ht="17" customHeight="1">
      <c r="B31" s="5" t="n">
        <v>46170</v>
      </c>
      <c r="C31" s="6" t="n">
        <v>45</v>
      </c>
      <c r="D31" s="6" t="n">
        <v>55</v>
      </c>
      <c r="E31" s="6" t="n">
        <v>5.1</v>
      </c>
      <c r="F31" s="6">
        <f>D31-E31</f>
        <v/>
      </c>
      <c r="G31" s="6">
        <f>F31-C31</f>
        <v/>
      </c>
      <c r="H31" s="21" t="n">
        <v>0</v>
      </c>
      <c r="I31" s="2" t="inlineStr">
        <is>
          <t xml:space="preserve"> -</t>
        </is>
      </c>
    </row>
    <row r="32" ht="17" customHeight="1">
      <c r="B32" s="5" t="n">
        <v>46171</v>
      </c>
      <c r="C32" s="6" t="n">
        <v>45</v>
      </c>
      <c r="D32" s="6" t="n">
        <v>55</v>
      </c>
      <c r="E32" s="6" t="n">
        <v>4.25</v>
      </c>
      <c r="F32" s="6">
        <f>D32-E32</f>
        <v/>
      </c>
      <c r="G32" s="6">
        <f>F32-C32</f>
        <v/>
      </c>
      <c r="H32" s="21" t="n">
        <v>0</v>
      </c>
      <c r="I32" s="2" t="inlineStr">
        <is>
          <t xml:space="preserve"> -</t>
        </is>
      </c>
    </row>
    <row r="33" ht="17" customHeight="1">
      <c r="B33" s="5" t="n">
        <v>46172</v>
      </c>
      <c r="C33" s="6" t="n">
        <v>39.75</v>
      </c>
      <c r="D33" s="6" t="n">
        <v>39.75</v>
      </c>
      <c r="E33" s="6" t="n">
        <v>0</v>
      </c>
      <c r="F33" s="6">
        <f>D33-E33</f>
        <v/>
      </c>
      <c r="G33" s="6">
        <f>F33-C33</f>
        <v/>
      </c>
      <c r="H33" s="21" t="n">
        <v>335</v>
      </c>
      <c r="I33" s="2" t="inlineStr">
        <is>
          <t>05.35-11.10 น. ไฟฟ้าดับ (ของการไฟฟ้า)</t>
        </is>
      </c>
    </row>
    <row r="34" ht="17" customHeight="1">
      <c r="B34" s="5" t="n">
        <v>46173</v>
      </c>
      <c r="C34" s="6" t="n">
        <v>30.85</v>
      </c>
      <c r="D34" s="6" t="n">
        <v>30.85</v>
      </c>
      <c r="E34" s="6" t="n">
        <v>0</v>
      </c>
      <c r="F34" s="6">
        <f>D34-E34</f>
        <v/>
      </c>
      <c r="G34" s="6">
        <f>F34-C34</f>
        <v/>
      </c>
      <c r="H34" s="21" t="n">
        <v>0</v>
      </c>
      <c r="I34" s="2" t="inlineStr">
        <is>
          <t>14.20 น. ปิดเตาอบแป้ง 1</t>
        </is>
      </c>
    </row>
    <row r="35" ht="21" customHeight="1">
      <c r="B35" s="7" t="inlineStr">
        <is>
          <t>ยอดรวม</t>
        </is>
      </c>
      <c r="C35" s="22">
        <f>SUM(C4:C34)</f>
        <v/>
      </c>
      <c r="D35" s="22">
        <f>SUM(D4:D34)</f>
        <v/>
      </c>
      <c r="E35" s="9">
        <f>SUM(E4:E34)</f>
        <v/>
      </c>
      <c r="F35" s="22">
        <f>SUM(F4:F34)</f>
        <v/>
      </c>
      <c r="G35" s="8">
        <f>SUM(G4:G34)</f>
        <v/>
      </c>
      <c r="H35" s="23">
        <f>SUM(Table1[เวลาหยุดเครื่อง (นาที)])</f>
        <v/>
      </c>
      <c r="I35" s="10" t="inlineStr">
        <is>
          <t xml:space="preserve"> -</t>
        </is>
      </c>
    </row>
  </sheetData>
  <conditionalFormatting sqref="G4:G35">
    <cfRule type="cellIs" priority="1" operator="lessThan" dxfId="0">
      <formula>0</formula>
    </cfRule>
  </conditionalFormatting>
  <pageMargins left="0.25" right="0.25" top="0.75" bottom="0.75" header="0.3" footer="0.3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topLeftCell="A22" zoomScale="85" zoomScaleNormal="85" workbookViewId="0">
      <selection activeCell="F39" sqref="F39"/>
    </sheetView>
  </sheetViews>
  <sheetFormatPr baseColWidth="8" defaultRowHeight="14.5"/>
  <cols>
    <col width="2.6328125" customWidth="1" min="1" max="1"/>
    <col width="14.6328125" customWidth="1" min="2" max="2"/>
    <col width="18.6328125" customWidth="1" min="3" max="5"/>
    <col width="22.6328125" customWidth="1" min="6" max="6"/>
    <col width="14.6328125" customWidth="1" min="7" max="7"/>
    <col width="20.6328125" customWidth="1" min="8" max="8"/>
    <col width="58.6328125" customWidth="1" min="9" max="9"/>
  </cols>
  <sheetData>
    <row r="2" ht="24" customHeight="1">
      <c r="B2" s="1" t="inlineStr">
        <is>
          <t>เตาอบแป้ง 2</t>
        </is>
      </c>
      <c r="C2" s="1" t="inlineStr">
        <is>
          <t>เดือน พฤษภาคม 2569</t>
        </is>
      </c>
    </row>
    <row r="3" ht="17" customHeight="1">
      <c r="B3" s="2" t="inlineStr">
        <is>
          <t>วันที่ผลิต</t>
        </is>
      </c>
      <c r="C3" s="2" t="inlineStr">
        <is>
          <t>แผนผลิต (ตัน)</t>
        </is>
      </c>
      <c r="D3" s="2" t="inlineStr">
        <is>
          <t>ผลิตได้ (ตัน)</t>
        </is>
      </c>
      <c r="E3" s="2" t="inlineStr">
        <is>
          <t>จำนวนผสมแป้ง (ตัน)</t>
        </is>
      </c>
      <c r="F3" s="2" t="inlineStr">
        <is>
          <t>ผลผลิตที่หักแป้งผสม (ตัน)</t>
        </is>
      </c>
      <c r="G3" s="2" t="inlineStr">
        <is>
          <t>ส่วนต่าง (ตัน)</t>
        </is>
      </c>
      <c r="H3" s="2" t="inlineStr">
        <is>
          <t>เวลาหยุดเครื่อง (นาที)</t>
        </is>
      </c>
      <c r="I3" s="2" t="inlineStr">
        <is>
          <t>หมายเหตุ</t>
        </is>
      </c>
    </row>
    <row r="4" ht="17" customHeight="1">
      <c r="B4" s="5" t="n">
        <v>46143</v>
      </c>
      <c r="C4" s="6" t="n">
        <v>80.75</v>
      </c>
      <c r="D4" s="6" t="n">
        <v>80.75</v>
      </c>
      <c r="E4" s="6" t="n">
        <v>0</v>
      </c>
      <c r="F4" s="6">
        <f>D4-E4</f>
        <v/>
      </c>
      <c r="G4" s="6">
        <f>F4-C4</f>
        <v/>
      </c>
      <c r="H4" s="21" t="n">
        <v>0</v>
      </c>
      <c r="I4" s="2" t="inlineStr">
        <is>
          <t>02.40 น. เปิดเตาอบแป้ง 2</t>
        </is>
      </c>
    </row>
    <row r="5" ht="17" customHeight="1">
      <c r="B5" s="5" t="n">
        <v>46144</v>
      </c>
      <c r="C5" s="6" t="n">
        <v>85</v>
      </c>
      <c r="D5" s="6" t="n">
        <v>58.8</v>
      </c>
      <c r="E5" s="6" t="n">
        <v>0</v>
      </c>
      <c r="F5" s="6">
        <f>D5-E5</f>
        <v/>
      </c>
      <c r="G5" s="6">
        <f>F5-C5</f>
        <v/>
      </c>
      <c r="H5" s="21" t="n">
        <v>445</v>
      </c>
      <c r="I5" s="2" t="inlineStr">
        <is>
          <t xml:space="preserve"> 16.05-23.30 น. ปิดเตาอบแป้ง 2 เบรคเกอร์ SW มีปัญหาตัดการทำงานหลายครั้ง</t>
        </is>
      </c>
    </row>
    <row r="6" ht="17" customHeight="1">
      <c r="B6" s="5" t="n">
        <v>46145</v>
      </c>
      <c r="C6" s="6" t="n">
        <v>85</v>
      </c>
      <c r="D6" s="6" t="n">
        <v>89.95</v>
      </c>
      <c r="E6" s="6" t="n">
        <v>0</v>
      </c>
      <c r="F6" s="6">
        <f>D6-E6</f>
        <v/>
      </c>
      <c r="G6" s="6">
        <f>F6-C6</f>
        <v/>
      </c>
      <c r="H6" s="21" t="n">
        <v>0</v>
      </c>
      <c r="I6" s="2" t="inlineStr">
        <is>
          <t xml:space="preserve"> -</t>
        </is>
      </c>
    </row>
    <row r="7" ht="17" customHeight="1">
      <c r="B7" s="5" t="n">
        <v>46146</v>
      </c>
      <c r="C7" s="6" t="n">
        <v>85</v>
      </c>
      <c r="D7" s="6" t="n">
        <v>89.59999999999999</v>
      </c>
      <c r="E7" s="6" t="n">
        <v>0.85</v>
      </c>
      <c r="F7" s="6">
        <f>D7-E7</f>
        <v/>
      </c>
      <c r="G7" s="6">
        <f>F7-C7</f>
        <v/>
      </c>
      <c r="H7" s="21" t="n">
        <v>0</v>
      </c>
      <c r="I7" s="2" t="inlineStr">
        <is>
          <t xml:space="preserve"> -</t>
        </is>
      </c>
    </row>
    <row r="8" ht="17" customHeight="1">
      <c r="B8" s="5" t="n">
        <v>46147</v>
      </c>
      <c r="C8" s="6" t="n">
        <v>20.65</v>
      </c>
      <c r="D8" s="6" t="n">
        <v>20.65</v>
      </c>
      <c r="E8" s="6" t="n">
        <v>0</v>
      </c>
      <c r="F8" s="6">
        <f>D8-E8</f>
        <v/>
      </c>
      <c r="G8" s="6">
        <f>F8-C8</f>
        <v/>
      </c>
      <c r="H8" s="21" t="n">
        <v>1120</v>
      </c>
      <c r="I8" s="2" t="inlineStr">
        <is>
          <t>23.45-18.40 น. ไฟฟ้าดับ (ของการไฟฟ้า)</t>
        </is>
      </c>
    </row>
    <row r="9" ht="17" customHeight="1">
      <c r="B9" s="5" t="n">
        <v>46148</v>
      </c>
      <c r="C9" s="6" t="n">
        <v>85</v>
      </c>
      <c r="D9" s="6" t="n">
        <v>96.25</v>
      </c>
      <c r="E9" s="6" t="n">
        <v>6.8</v>
      </c>
      <c r="F9" s="6">
        <f>D9-E9</f>
        <v/>
      </c>
      <c r="G9" s="6">
        <f>F9-C9</f>
        <v/>
      </c>
      <c r="H9" s="21" t="n">
        <v>0</v>
      </c>
      <c r="I9" s="2" t="inlineStr">
        <is>
          <t xml:space="preserve"> -</t>
        </is>
      </c>
    </row>
    <row r="10" ht="17" customHeight="1">
      <c r="B10" s="5" t="n">
        <v>46149</v>
      </c>
      <c r="C10" s="6" t="n">
        <v>85</v>
      </c>
      <c r="D10" s="6" t="n">
        <v>92.95</v>
      </c>
      <c r="E10" s="6" t="n">
        <v>5.1</v>
      </c>
      <c r="F10" s="6">
        <f>D10-E10</f>
        <v/>
      </c>
      <c r="G10" s="6">
        <f>F10-C10</f>
        <v/>
      </c>
      <c r="H10" s="21" t="n">
        <v>0</v>
      </c>
      <c r="I10" s="2" t="inlineStr">
        <is>
          <t xml:space="preserve"> -</t>
        </is>
      </c>
    </row>
    <row r="11" ht="17" customHeight="1">
      <c r="B11" s="5" t="n">
        <v>46150</v>
      </c>
      <c r="C11" s="6" t="n">
        <v>85</v>
      </c>
      <c r="D11" s="6" t="n">
        <v>92.5</v>
      </c>
      <c r="E11" s="6" t="n">
        <v>3.4</v>
      </c>
      <c r="F11" s="6">
        <f>D11-E11</f>
        <v/>
      </c>
      <c r="G11" s="6">
        <f>F11-C11</f>
        <v/>
      </c>
      <c r="H11" s="21" t="n">
        <v>0</v>
      </c>
      <c r="I11" s="20" t="inlineStr">
        <is>
          <t xml:space="preserve"> -</t>
        </is>
      </c>
    </row>
    <row r="12" ht="17" customHeight="1">
      <c r="B12" s="5" t="n">
        <v>46151</v>
      </c>
      <c r="C12" s="6" t="n">
        <v>85</v>
      </c>
      <c r="D12" s="6" t="n">
        <v>95</v>
      </c>
      <c r="E12" s="6" t="n">
        <v>6.8</v>
      </c>
      <c r="F12" s="6">
        <f>D12-E12</f>
        <v/>
      </c>
      <c r="G12" s="6">
        <f>F12-C12</f>
        <v/>
      </c>
      <c r="H12" s="21" t="n">
        <v>0</v>
      </c>
      <c r="I12" s="20" t="inlineStr">
        <is>
          <t xml:space="preserve"> -</t>
        </is>
      </c>
    </row>
    <row r="13" ht="17" customHeight="1">
      <c r="B13" s="5" t="n">
        <v>46152</v>
      </c>
      <c r="C13" s="6" t="n">
        <v>85</v>
      </c>
      <c r="D13" s="6" t="n">
        <v>94.25</v>
      </c>
      <c r="E13" s="6" t="n">
        <v>5.95</v>
      </c>
      <c r="F13" s="6">
        <f>D13-E13</f>
        <v/>
      </c>
      <c r="G13" s="6">
        <f>F13-C13</f>
        <v/>
      </c>
      <c r="H13" s="21" t="n">
        <v>0</v>
      </c>
      <c r="I13" s="20" t="inlineStr">
        <is>
          <t xml:space="preserve"> -</t>
        </is>
      </c>
    </row>
    <row r="14" ht="17" customHeight="1">
      <c r="B14" s="5" t="n">
        <v>46153</v>
      </c>
      <c r="C14" s="6" t="n">
        <v>85</v>
      </c>
      <c r="D14" s="6" t="n">
        <v>96.25</v>
      </c>
      <c r="E14" s="6" t="n">
        <v>6.8</v>
      </c>
      <c r="F14" s="6">
        <f>D14-E14</f>
        <v/>
      </c>
      <c r="G14" s="6">
        <f>F14-C14</f>
        <v/>
      </c>
      <c r="H14" s="21" t="n">
        <v>0</v>
      </c>
      <c r="I14" s="20" t="inlineStr">
        <is>
          <t xml:space="preserve"> -</t>
        </is>
      </c>
    </row>
    <row r="15" ht="17" customHeight="1">
      <c r="B15" s="5" t="n">
        <v>46154</v>
      </c>
      <c r="C15" s="6" t="n">
        <v>85</v>
      </c>
      <c r="D15" s="6" t="n">
        <v>93.90000000000001</v>
      </c>
      <c r="E15" s="6" t="n">
        <v>5.1</v>
      </c>
      <c r="F15" s="6">
        <f>D15-E15</f>
        <v/>
      </c>
      <c r="G15" s="6">
        <f>F15-C15</f>
        <v/>
      </c>
      <c r="H15" s="21" t="n">
        <v>0</v>
      </c>
      <c r="I15" s="20" t="inlineStr">
        <is>
          <t xml:space="preserve"> -</t>
        </is>
      </c>
    </row>
    <row r="16" ht="17" customHeight="1">
      <c r="B16" s="5" t="n">
        <v>46155</v>
      </c>
      <c r="C16" s="6" t="n">
        <v>85</v>
      </c>
      <c r="D16" s="6" t="n">
        <v>93</v>
      </c>
      <c r="E16" s="6" t="n">
        <v>5.1</v>
      </c>
      <c r="F16" s="6">
        <f>D16-E16</f>
        <v/>
      </c>
      <c r="G16" s="6">
        <f>F16-C16</f>
        <v/>
      </c>
      <c r="H16" s="21" t="n">
        <v>0</v>
      </c>
      <c r="I16" s="20" t="inlineStr">
        <is>
          <t xml:space="preserve"> -</t>
        </is>
      </c>
    </row>
    <row r="17" ht="17" customHeight="1">
      <c r="B17" s="5" t="n">
        <v>46156</v>
      </c>
      <c r="C17" s="6" t="n">
        <v>85</v>
      </c>
      <c r="D17" s="6" t="n">
        <v>50.95</v>
      </c>
      <c r="E17" s="6" t="n">
        <v>4.25</v>
      </c>
      <c r="F17" s="6">
        <f>D17-E17</f>
        <v/>
      </c>
      <c r="G17" s="6">
        <f>F17-C17</f>
        <v/>
      </c>
      <c r="H17" s="21" t="n">
        <v>685</v>
      </c>
      <c r="I17" s="20" t="inlineStr">
        <is>
          <t>11.15-22.40 น. ปิดเตาอบแป้ง 2 ล้างเครื่องเมอร์โก้เช็ค Nozzle ตัน</t>
        </is>
      </c>
    </row>
    <row r="18" ht="17" customHeight="1">
      <c r="B18" s="5" t="n">
        <v>46157</v>
      </c>
      <c r="C18" s="6" t="n">
        <v>85</v>
      </c>
      <c r="D18" s="6" t="n">
        <v>95.09999999999999</v>
      </c>
      <c r="E18" s="6" t="n">
        <v>5.1</v>
      </c>
      <c r="F18" s="6">
        <f>D18-E18</f>
        <v/>
      </c>
      <c r="G18" s="6">
        <f>F18-C18</f>
        <v/>
      </c>
      <c r="H18" s="21" t="n">
        <v>0</v>
      </c>
      <c r="I18" s="20" t="inlineStr">
        <is>
          <t xml:space="preserve"> -</t>
        </is>
      </c>
    </row>
    <row r="19" ht="17" customHeight="1">
      <c r="B19" s="5" t="n">
        <v>46158</v>
      </c>
      <c r="C19" s="6" t="n">
        <v>85</v>
      </c>
      <c r="D19" s="6" t="n">
        <v>87.5</v>
      </c>
      <c r="E19" s="6" t="n">
        <v>5.1</v>
      </c>
      <c r="F19" s="6">
        <f>D19-E19</f>
        <v/>
      </c>
      <c r="G19" s="6">
        <f>F19-C19</f>
        <v/>
      </c>
      <c r="H19" s="21" t="n">
        <v>0</v>
      </c>
      <c r="I19" s="20" t="inlineStr">
        <is>
          <t xml:space="preserve"> -</t>
        </is>
      </c>
    </row>
    <row r="20" ht="17" customHeight="1">
      <c r="B20" s="5" t="n">
        <v>46159</v>
      </c>
      <c r="C20" s="6" t="n">
        <v>51.1</v>
      </c>
      <c r="D20" s="6" t="n">
        <v>59.6</v>
      </c>
      <c r="E20" s="6" t="n">
        <v>8.5</v>
      </c>
      <c r="F20" s="6">
        <f>D20-E20</f>
        <v/>
      </c>
      <c r="G20" s="6">
        <f>F20-C20</f>
        <v/>
      </c>
      <c r="H20" s="21" t="n">
        <v>365</v>
      </c>
      <c r="I20" s="20" t="inlineStr">
        <is>
          <t>17.55-24.00 น. ปิดเตาอบแป้ง 2 ทำแป้ง PURE-C</t>
        </is>
      </c>
    </row>
    <row r="21" ht="17" customHeight="1">
      <c r="B21" s="5" t="n">
        <v>46160</v>
      </c>
      <c r="C21" s="6" t="n">
        <v>56</v>
      </c>
      <c r="D21" s="6" t="n">
        <v>56</v>
      </c>
      <c r="E21" s="6" t="n">
        <v>0</v>
      </c>
      <c r="F21" s="6">
        <f>D21-E21</f>
        <v/>
      </c>
      <c r="G21" s="6">
        <f>F21-C21</f>
        <v/>
      </c>
      <c r="H21" s="21" t="n">
        <v>0</v>
      </c>
      <c r="I21" s="20" t="inlineStr">
        <is>
          <t>ผลิตแป้ง PURE-C</t>
        </is>
      </c>
    </row>
    <row r="22" ht="17" customHeight="1">
      <c r="B22" s="5" t="n">
        <v>46161</v>
      </c>
      <c r="C22" s="6" t="n">
        <v>28.25</v>
      </c>
      <c r="D22" s="6" t="n">
        <v>28.25</v>
      </c>
      <c r="E22" s="6" t="n">
        <v>0</v>
      </c>
      <c r="F22" s="6">
        <f>D22-E22</f>
        <v/>
      </c>
      <c r="G22" s="6">
        <f>F22-C22</f>
        <v/>
      </c>
      <c r="H22" s="21" t="n">
        <v>0</v>
      </c>
      <c r="I22" s="2" t="inlineStr">
        <is>
          <t>ผลิตแป้ง PURE-C</t>
        </is>
      </c>
    </row>
    <row r="23" ht="17" customHeight="1">
      <c r="B23" s="5" t="n">
        <v>46162</v>
      </c>
      <c r="C23" s="6" t="n">
        <v>85</v>
      </c>
      <c r="D23" s="6" t="n">
        <v>69.3</v>
      </c>
      <c r="E23" s="6" t="n">
        <v>3.4</v>
      </c>
      <c r="F23" s="6">
        <f>D23-E23</f>
        <v/>
      </c>
      <c r="G23" s="6">
        <f>F23-C23</f>
        <v/>
      </c>
      <c r="H23" s="21" t="n">
        <v>0</v>
      </c>
      <c r="I23" s="2" t="inlineStr">
        <is>
          <t>24.20 น. เปิดเตาอบแป้ง 2</t>
        </is>
      </c>
    </row>
    <row r="24" ht="17" customHeight="1">
      <c r="B24" s="5" t="n">
        <v>46163</v>
      </c>
      <c r="C24" s="6" t="n">
        <v>85</v>
      </c>
      <c r="D24" s="6" t="n">
        <v>93.75</v>
      </c>
      <c r="E24" s="6" t="n">
        <v>3.4</v>
      </c>
      <c r="F24" s="6">
        <f>D24-E24</f>
        <v/>
      </c>
      <c r="G24" s="6">
        <f>F24-C24</f>
        <v/>
      </c>
      <c r="H24" s="21" t="n">
        <v>300</v>
      </c>
      <c r="I24" s="2" t="inlineStr">
        <is>
          <t xml:space="preserve"> -</t>
        </is>
      </c>
    </row>
    <row r="25" ht="17" customHeight="1">
      <c r="B25" s="5" t="n">
        <v>46164</v>
      </c>
      <c r="C25" s="6" t="n">
        <v>85</v>
      </c>
      <c r="D25" s="6" t="n">
        <v>94.8</v>
      </c>
      <c r="E25" s="6" t="n">
        <v>4.25</v>
      </c>
      <c r="F25" s="6">
        <f>D25-E25</f>
        <v/>
      </c>
      <c r="G25" s="6">
        <f>F25-C25</f>
        <v/>
      </c>
      <c r="H25" s="21" t="n">
        <v>0</v>
      </c>
      <c r="I25" s="2" t="inlineStr">
        <is>
          <t xml:space="preserve"> -</t>
        </is>
      </c>
    </row>
    <row r="26" ht="17" customHeight="1">
      <c r="B26" s="5" t="n">
        <v>46165</v>
      </c>
      <c r="C26" s="6" t="n">
        <v>85</v>
      </c>
      <c r="D26" s="6" t="n">
        <v>95</v>
      </c>
      <c r="E26" s="6" t="n">
        <v>5.1</v>
      </c>
      <c r="F26" s="6">
        <f>D26-E26</f>
        <v/>
      </c>
      <c r="G26" s="6">
        <f>F26-C26</f>
        <v/>
      </c>
      <c r="H26" s="21" t="n">
        <v>0</v>
      </c>
      <c r="I26" s="2" t="inlineStr">
        <is>
          <t xml:space="preserve"> -</t>
        </is>
      </c>
    </row>
    <row r="27" ht="17" customHeight="1">
      <c r="B27" s="5" t="n">
        <v>46166</v>
      </c>
      <c r="C27" s="6" t="n">
        <v>85</v>
      </c>
      <c r="D27" s="6" t="n">
        <v>96.25</v>
      </c>
      <c r="E27" s="6" t="n">
        <v>4.25</v>
      </c>
      <c r="F27" s="6">
        <f>D27-E27</f>
        <v/>
      </c>
      <c r="G27" s="6">
        <f>F27-C27</f>
        <v/>
      </c>
      <c r="H27" s="21" t="n">
        <v>0</v>
      </c>
      <c r="I27" s="2" t="inlineStr">
        <is>
          <t xml:space="preserve"> -</t>
        </is>
      </c>
    </row>
    <row r="28" ht="17" customHeight="1">
      <c r="B28" s="5" t="n">
        <v>46167</v>
      </c>
      <c r="C28" s="6" t="n">
        <v>62.15</v>
      </c>
      <c r="D28" s="6" t="n">
        <v>65.55</v>
      </c>
      <c r="E28" s="6" t="n">
        <v>3.4</v>
      </c>
      <c r="F28" s="6">
        <f>D28-E28</f>
        <v/>
      </c>
      <c r="G28" s="6">
        <f>F28-C28</f>
        <v/>
      </c>
      <c r="H28" s="21" t="n">
        <v>473</v>
      </c>
      <c r="I28" s="2" t="inlineStr">
        <is>
          <t>14.22-22.15 น. ไฟฟ้าดับ (ของการไฟฟ้า)</t>
        </is>
      </c>
    </row>
    <row r="29" ht="17" customHeight="1">
      <c r="B29" s="5" t="n">
        <v>46168</v>
      </c>
      <c r="C29" s="6" t="n">
        <v>85</v>
      </c>
      <c r="D29" s="6" t="n">
        <v>92.84999999999999</v>
      </c>
      <c r="E29" s="6" t="n">
        <v>1.7</v>
      </c>
      <c r="F29" s="6">
        <f>D29-E29</f>
        <v/>
      </c>
      <c r="G29" s="6">
        <f>F29-C29</f>
        <v/>
      </c>
      <c r="H29" s="21" t="n">
        <v>330</v>
      </c>
      <c r="I29" s="2" t="inlineStr">
        <is>
          <t xml:space="preserve"> -</t>
        </is>
      </c>
    </row>
    <row r="30" ht="17" customHeight="1">
      <c r="B30" s="5" t="n">
        <v>46169</v>
      </c>
      <c r="C30" s="6" t="n">
        <v>85</v>
      </c>
      <c r="D30" s="6" t="n">
        <v>100</v>
      </c>
      <c r="E30" s="6" t="n">
        <v>5.95</v>
      </c>
      <c r="F30" s="6">
        <f>D30-E30</f>
        <v/>
      </c>
      <c r="G30" s="6">
        <f>F30-C30</f>
        <v/>
      </c>
      <c r="H30" s="21" t="n">
        <v>0</v>
      </c>
      <c r="I30" s="2" t="inlineStr">
        <is>
          <t xml:space="preserve"> -</t>
        </is>
      </c>
    </row>
    <row r="31" ht="17" customHeight="1">
      <c r="B31" s="5" t="n">
        <v>46170</v>
      </c>
      <c r="C31" s="6" t="n">
        <v>85</v>
      </c>
      <c r="D31" s="6" t="n">
        <v>98.75</v>
      </c>
      <c r="E31" s="6" t="n">
        <v>5.95</v>
      </c>
      <c r="F31" s="6">
        <f>D31-E31</f>
        <v/>
      </c>
      <c r="G31" s="6">
        <f>F31-C31</f>
        <v/>
      </c>
      <c r="H31" s="21" t="n">
        <v>0</v>
      </c>
      <c r="I31" s="2" t="inlineStr">
        <is>
          <t xml:space="preserve"> -</t>
        </is>
      </c>
    </row>
    <row r="32" ht="17" customHeight="1">
      <c r="B32" s="5" t="n">
        <v>46171</v>
      </c>
      <c r="C32" s="6" t="n">
        <v>85</v>
      </c>
      <c r="D32" s="6" t="n">
        <v>98.75</v>
      </c>
      <c r="E32" s="6" t="n">
        <v>5.1</v>
      </c>
      <c r="F32" s="6">
        <f>D32-E32</f>
        <v/>
      </c>
      <c r="G32" s="6">
        <f>F32-C32</f>
        <v/>
      </c>
      <c r="H32" s="21" t="n">
        <v>0</v>
      </c>
      <c r="I32" s="2" t="inlineStr">
        <is>
          <t xml:space="preserve"> -</t>
        </is>
      </c>
    </row>
    <row r="33" ht="17" customHeight="1">
      <c r="B33" s="5" t="n">
        <v>46172</v>
      </c>
      <c r="C33" s="6" t="n">
        <v>74.8</v>
      </c>
      <c r="D33" s="6" t="n">
        <v>78.2</v>
      </c>
      <c r="E33" s="6" t="n">
        <v>3.4</v>
      </c>
      <c r="F33" s="6">
        <f>D33-E33</f>
        <v/>
      </c>
      <c r="G33" s="6">
        <f>F33-C33</f>
        <v/>
      </c>
      <c r="H33" s="21" t="n">
        <v>305</v>
      </c>
      <c r="I33" s="2" t="inlineStr">
        <is>
          <t>05.35-10.40 น. ไฟฟ้าดับ (ของการไฟฟ้า)</t>
        </is>
      </c>
    </row>
    <row r="34" ht="17" customHeight="1">
      <c r="B34" s="5" t="n">
        <v>46173</v>
      </c>
      <c r="C34" s="6" t="n">
        <v>61.7</v>
      </c>
      <c r="D34" s="6" t="n">
        <v>65.09999999999999</v>
      </c>
      <c r="E34" s="6" t="n">
        <v>3.4</v>
      </c>
      <c r="F34" s="6">
        <f>D34-E34</f>
        <v/>
      </c>
      <c r="G34" s="6">
        <f>F34-C34</f>
        <v/>
      </c>
      <c r="H34" s="21" t="n">
        <v>0</v>
      </c>
      <c r="I34" s="2" t="inlineStr">
        <is>
          <t>15.40 น. ปิดเตาอบแป้ง 2</t>
        </is>
      </c>
    </row>
    <row r="35" ht="21" customHeight="1">
      <c r="B35" s="7" t="inlineStr">
        <is>
          <t>ยอดรวม</t>
        </is>
      </c>
      <c r="C35" s="24">
        <f>SUM(C4:C34)</f>
        <v/>
      </c>
      <c r="D35" s="24">
        <f>SUM(D4:D34)</f>
        <v/>
      </c>
      <c r="E35" s="24">
        <f>SUM(E4:E34)</f>
        <v/>
      </c>
      <c r="F35" s="24">
        <f>SUM(F4:F34)</f>
        <v/>
      </c>
      <c r="G35" s="24">
        <f>SUM(G4:G34)</f>
        <v/>
      </c>
      <c r="H35" s="23">
        <f>SUM(H4:H34)</f>
        <v/>
      </c>
      <c r="I35" s="10" t="inlineStr">
        <is>
          <t xml:space="preserve"> -</t>
        </is>
      </c>
    </row>
  </sheetData>
  <conditionalFormatting sqref="G3:G35">
    <cfRule type="cellIs" priority="2" operator="lessThan" dxfId="0">
      <formula>0</formula>
    </cfRule>
  </conditionalFormatting>
  <conditionalFormatting sqref="H35">
    <cfRule type="cellIs" priority="1" operator="lessThan" dxfId="0">
      <formula>0</formula>
    </cfRule>
  </conditionalFormatting>
  <pageMargins left="0.25" right="0.25" top="0.75" bottom="0.75" header="0.3" footer="0.3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topLeftCell="A22" zoomScale="85" zoomScaleNormal="85" workbookViewId="0">
      <selection activeCell="I38" sqref="I38"/>
    </sheetView>
  </sheetViews>
  <sheetFormatPr baseColWidth="8" defaultRowHeight="14.5"/>
  <cols>
    <col width="2.6328125" customWidth="1" min="1" max="1"/>
    <col width="14.6328125" customWidth="1" min="2" max="2"/>
    <col width="18.6328125" customWidth="1" min="3" max="4"/>
    <col width="20.6328125" customWidth="1" min="5" max="5"/>
    <col width="22.6328125" customWidth="1" min="6" max="6"/>
    <col width="14.6328125" customWidth="1" min="7" max="7"/>
    <col width="20.6328125" customWidth="1" min="8" max="8"/>
    <col width="58.6328125" customWidth="1" min="9" max="9"/>
  </cols>
  <sheetData>
    <row r="2" ht="24" customHeight="1">
      <c r="B2" s="1" t="inlineStr">
        <is>
          <t>เตาอบกาก</t>
        </is>
      </c>
      <c r="C2" s="1" t="inlineStr">
        <is>
          <t>เดือน พฤษภาคม 2569</t>
        </is>
      </c>
    </row>
    <row r="3" ht="17" customHeight="1">
      <c r="B3" s="2" t="inlineStr">
        <is>
          <t>วันที่ผลิต</t>
        </is>
      </c>
      <c r="C3" s="2" t="inlineStr">
        <is>
          <t>แผนผลิต (ตัน)</t>
        </is>
      </c>
      <c r="D3" s="3" t="inlineStr">
        <is>
          <t>ผลิตได้ (ตัน)</t>
        </is>
      </c>
      <c r="E3" s="4" t="inlineStr">
        <is>
          <t>จำนวนผสมกาก (ตัน)</t>
        </is>
      </c>
      <c r="F3" s="4" t="inlineStr">
        <is>
          <t>ผลผลิตที่หักกากผสม (ตัน)</t>
        </is>
      </c>
      <c r="G3" s="4" t="inlineStr">
        <is>
          <t>ส่วนต่าง (ตัน)</t>
        </is>
      </c>
      <c r="H3" s="4" t="inlineStr">
        <is>
          <t>เวลาหยุดเครื่อง (นาที)</t>
        </is>
      </c>
      <c r="I3" s="4" t="inlineStr">
        <is>
          <t>หมายเหตุ</t>
        </is>
      </c>
    </row>
    <row r="4" ht="17" customHeight="1">
      <c r="B4" s="5" t="n">
        <v>46143</v>
      </c>
      <c r="C4" s="6" t="n">
        <v>27.8</v>
      </c>
      <c r="D4" s="6" t="n">
        <v>27.8</v>
      </c>
      <c r="E4" s="6" t="n">
        <v>0</v>
      </c>
      <c r="F4" s="6">
        <f>D4-E4</f>
        <v/>
      </c>
      <c r="G4" s="6">
        <f>F4-C4</f>
        <v/>
      </c>
      <c r="H4" s="21" t="n">
        <v>0</v>
      </c>
      <c r="I4" s="2" t="inlineStr">
        <is>
          <t>23.00 น. เปิดเตาอบกาก</t>
        </is>
      </c>
    </row>
    <row r="5" ht="17" customHeight="1">
      <c r="B5" s="5" t="n">
        <v>46144</v>
      </c>
      <c r="C5" s="6" t="n">
        <v>24.6</v>
      </c>
      <c r="D5" s="6" t="n">
        <v>24.6</v>
      </c>
      <c r="E5" s="6" t="n">
        <v>2.32</v>
      </c>
      <c r="F5" s="6">
        <f>D5-E5</f>
        <v/>
      </c>
      <c r="G5" s="6">
        <f>F5-C5</f>
        <v/>
      </c>
      <c r="H5" s="21" t="n">
        <v>405</v>
      </c>
      <c r="I5" s="2" t="inlineStr">
        <is>
          <t>16.00-22.45 น. ปิดเตาอบกาก เบรคเกอร์ SW มีปัญหาตัดการทำงานหลายครั้ง</t>
        </is>
      </c>
    </row>
    <row r="6" ht="17" customHeight="1">
      <c r="B6" s="5" t="n">
        <v>46145</v>
      </c>
      <c r="C6" s="6" t="n">
        <v>32.04</v>
      </c>
      <c r="D6" s="6" t="n">
        <v>29.2</v>
      </c>
      <c r="E6" s="6" t="n">
        <v>0</v>
      </c>
      <c r="F6" s="6">
        <f>D6-E6</f>
        <v/>
      </c>
      <c r="G6" s="6">
        <f>F6-C6</f>
        <v/>
      </c>
      <c r="H6" s="21" t="n">
        <v>0</v>
      </c>
      <c r="I6" s="2" t="inlineStr">
        <is>
          <t xml:space="preserve"> -</t>
        </is>
      </c>
    </row>
    <row r="7" ht="17" customHeight="1">
      <c r="B7" s="5" t="n">
        <v>46146</v>
      </c>
      <c r="C7" s="6" t="n">
        <v>32.04</v>
      </c>
      <c r="D7" s="6" t="n">
        <v>29.64</v>
      </c>
      <c r="E7" s="6" t="n">
        <v>0</v>
      </c>
      <c r="F7" s="6">
        <f>D7-E7</f>
        <v/>
      </c>
      <c r="G7" s="6">
        <f>F7-C7</f>
        <v/>
      </c>
      <c r="H7" s="21" t="n">
        <v>0</v>
      </c>
      <c r="I7" s="2" t="inlineStr">
        <is>
          <t xml:space="preserve"> -</t>
        </is>
      </c>
    </row>
    <row r="8" ht="17" customHeight="1">
      <c r="B8" s="5" t="n">
        <v>46147</v>
      </c>
      <c r="C8" s="6" t="n">
        <v>5.32</v>
      </c>
      <c r="D8" s="6" t="n">
        <v>5.32</v>
      </c>
      <c r="E8" s="6" t="n">
        <v>0</v>
      </c>
      <c r="F8" s="6">
        <f>D8-E8</f>
        <v/>
      </c>
      <c r="G8" s="6">
        <f>F8-C8</f>
        <v/>
      </c>
      <c r="H8" s="21" t="n">
        <v>1035</v>
      </c>
      <c r="I8" s="2" t="inlineStr">
        <is>
          <t>23.45-17.00 น. ไฟฟ้าดับ (ของการไฟฟ้า)</t>
        </is>
      </c>
    </row>
    <row r="9" ht="17" customHeight="1">
      <c r="B9" s="5" t="n">
        <v>46148</v>
      </c>
      <c r="C9" s="6" t="n">
        <v>32.04</v>
      </c>
      <c r="D9" s="6" t="n">
        <v>33.52</v>
      </c>
      <c r="E9" s="6" t="n">
        <v>0</v>
      </c>
      <c r="F9" s="6">
        <f>D9-E9</f>
        <v/>
      </c>
      <c r="G9" s="6">
        <f>F9-C9</f>
        <v/>
      </c>
      <c r="H9" s="21" t="n">
        <v>0</v>
      </c>
      <c r="I9" s="2" t="inlineStr">
        <is>
          <t xml:space="preserve"> -</t>
        </is>
      </c>
    </row>
    <row r="10" ht="17" customHeight="1">
      <c r="B10" s="5" t="n">
        <v>46149</v>
      </c>
      <c r="C10" s="6" t="n">
        <v>32.04</v>
      </c>
      <c r="D10" s="6" t="n">
        <v>33.36</v>
      </c>
      <c r="E10" s="6" t="n">
        <v>0</v>
      </c>
      <c r="F10" s="6">
        <f>D10-E10</f>
        <v/>
      </c>
      <c r="G10" s="6">
        <f>F10-C10</f>
        <v/>
      </c>
      <c r="H10" s="21" t="n">
        <v>0</v>
      </c>
      <c r="I10" s="2" t="inlineStr">
        <is>
          <t xml:space="preserve"> -</t>
        </is>
      </c>
    </row>
    <row r="11" ht="17" customHeight="1">
      <c r="B11" s="5" t="n">
        <v>46150</v>
      </c>
      <c r="C11" s="6" t="n">
        <v>32.04</v>
      </c>
      <c r="D11" s="6" t="n">
        <v>31.6</v>
      </c>
      <c r="E11" s="6" t="n">
        <v>0</v>
      </c>
      <c r="F11" s="6">
        <f>D11-E11</f>
        <v/>
      </c>
      <c r="G11" s="6">
        <f>F11-C11</f>
        <v/>
      </c>
      <c r="H11" s="21" t="n">
        <v>0</v>
      </c>
      <c r="I11" s="2" t="inlineStr">
        <is>
          <t xml:space="preserve"> -</t>
        </is>
      </c>
    </row>
    <row r="12" ht="17" customHeight="1">
      <c r="B12" s="5" t="n">
        <v>46151</v>
      </c>
      <c r="C12" s="6" t="n">
        <v>32.04</v>
      </c>
      <c r="D12" s="6" t="n">
        <v>31.6</v>
      </c>
      <c r="E12" s="6" t="n">
        <v>0</v>
      </c>
      <c r="F12" s="6">
        <f>D12-E12</f>
        <v/>
      </c>
      <c r="G12" s="6">
        <f>F12-C12</f>
        <v/>
      </c>
      <c r="H12" s="21" t="n">
        <v>0</v>
      </c>
      <c r="I12" s="2" t="inlineStr">
        <is>
          <t xml:space="preserve"> -</t>
        </is>
      </c>
    </row>
    <row r="13" ht="17" customHeight="1">
      <c r="B13" s="5" t="n">
        <v>46152</v>
      </c>
      <c r="C13" s="6" t="n">
        <v>32.04</v>
      </c>
      <c r="D13" s="6" t="n">
        <v>30.64</v>
      </c>
      <c r="E13" s="6" t="n">
        <v>0</v>
      </c>
      <c r="F13" s="6">
        <f>D13-E13</f>
        <v/>
      </c>
      <c r="G13" s="6">
        <f>F13-C13</f>
        <v/>
      </c>
      <c r="H13" s="21" t="n">
        <v>0</v>
      </c>
      <c r="I13" s="20" t="inlineStr">
        <is>
          <t xml:space="preserve"> -</t>
        </is>
      </c>
    </row>
    <row r="14" ht="17" customHeight="1">
      <c r="B14" s="5" t="n">
        <v>46153</v>
      </c>
      <c r="C14" s="6" t="n">
        <v>32.04</v>
      </c>
      <c r="D14" s="6" t="n">
        <v>30.2</v>
      </c>
      <c r="E14" s="6" t="n">
        <v>0</v>
      </c>
      <c r="F14" s="6">
        <f>D14-E14</f>
        <v/>
      </c>
      <c r="G14" s="6">
        <f>F14-C14</f>
        <v/>
      </c>
      <c r="H14" s="21" t="n">
        <v>180</v>
      </c>
      <c r="I14" s="20" t="inlineStr">
        <is>
          <t xml:space="preserve"> -</t>
        </is>
      </c>
    </row>
    <row r="15" ht="17" customHeight="1">
      <c r="B15" s="5" t="n">
        <v>46154</v>
      </c>
      <c r="C15" s="6" t="n">
        <v>32.04</v>
      </c>
      <c r="D15" s="6" t="n">
        <v>30.8</v>
      </c>
      <c r="E15" s="6" t="n">
        <v>0</v>
      </c>
      <c r="F15" s="6">
        <f>D15-E15</f>
        <v/>
      </c>
      <c r="G15" s="6">
        <f>F15-C15</f>
        <v/>
      </c>
      <c r="H15" s="21" t="n">
        <v>0</v>
      </c>
      <c r="I15" s="20" t="inlineStr">
        <is>
          <t xml:space="preserve"> -</t>
        </is>
      </c>
    </row>
    <row r="16" ht="17" customHeight="1">
      <c r="B16" s="5" t="n">
        <v>46155</v>
      </c>
      <c r="C16" s="6" t="n">
        <v>32.04</v>
      </c>
      <c r="D16" s="6" t="n">
        <v>31.32</v>
      </c>
      <c r="E16" s="6" t="n">
        <v>0.16</v>
      </c>
      <c r="F16" s="6">
        <f>D16-E16</f>
        <v/>
      </c>
      <c r="G16" s="6">
        <f>F16-C16</f>
        <v/>
      </c>
      <c r="H16" s="21" t="n">
        <v>0</v>
      </c>
      <c r="I16" s="20" t="inlineStr">
        <is>
          <t xml:space="preserve"> -</t>
        </is>
      </c>
    </row>
    <row r="17" ht="17" customHeight="1">
      <c r="B17" s="5" t="n">
        <v>46156</v>
      </c>
      <c r="C17" s="6" t="n">
        <v>16.6</v>
      </c>
      <c r="D17" s="6" t="n">
        <v>16.6</v>
      </c>
      <c r="E17" s="6" t="n">
        <v>0</v>
      </c>
      <c r="F17" s="6">
        <f>D17-E17</f>
        <v/>
      </c>
      <c r="G17" s="6">
        <f>F17-C17</f>
        <v/>
      </c>
      <c r="H17" s="21" t="n">
        <v>720</v>
      </c>
      <c r="I17" s="20" t="inlineStr">
        <is>
          <t>10.00-22.00 น. ปิดเตาอบกาก ล้างเครื่องเมอร์โก้เช็ค Nozzle ตัน</t>
        </is>
      </c>
    </row>
    <row r="18" ht="17" customHeight="1">
      <c r="B18" s="5" t="n">
        <v>46157</v>
      </c>
      <c r="C18" s="6" t="n">
        <v>32.04</v>
      </c>
      <c r="D18" s="6" t="n">
        <v>30.94</v>
      </c>
      <c r="E18" s="6" t="n">
        <v>0</v>
      </c>
      <c r="F18" s="6">
        <f>D18-E18</f>
        <v/>
      </c>
      <c r="G18" s="6">
        <f>F18-C18</f>
        <v/>
      </c>
      <c r="H18" s="21" t="n">
        <v>0</v>
      </c>
      <c r="I18" s="20" t="inlineStr">
        <is>
          <t xml:space="preserve"> -</t>
        </is>
      </c>
    </row>
    <row r="19" ht="17" customHeight="1">
      <c r="B19" s="5" t="n">
        <v>46158</v>
      </c>
      <c r="C19" s="6" t="n">
        <v>32.04</v>
      </c>
      <c r="D19" s="6" t="n">
        <v>31.88</v>
      </c>
      <c r="E19" s="6" t="n">
        <v>0</v>
      </c>
      <c r="F19" s="6">
        <f>D19-E19</f>
        <v/>
      </c>
      <c r="G19" s="6">
        <f>F19-C19</f>
        <v/>
      </c>
      <c r="H19" s="21" t="n">
        <v>490</v>
      </c>
      <c r="I19" s="20" t="inlineStr">
        <is>
          <t xml:space="preserve"> -</t>
        </is>
      </c>
    </row>
    <row r="20" ht="17" customHeight="1">
      <c r="B20" s="5" t="n">
        <v>46159</v>
      </c>
      <c r="C20" s="6" t="n">
        <v>23.64</v>
      </c>
      <c r="D20" s="6" t="n">
        <v>23.68</v>
      </c>
      <c r="E20" s="6" t="n">
        <v>0</v>
      </c>
      <c r="F20" s="6">
        <f>D20-E20</f>
        <v/>
      </c>
      <c r="G20" s="6">
        <f>F20-C20</f>
        <v/>
      </c>
      <c r="H20" s="21" t="n">
        <v>0</v>
      </c>
      <c r="I20" s="20" t="inlineStr">
        <is>
          <t>17.00-24.00 น. ปิดเตาอบกาก ทำแป้ง PURE-C</t>
        </is>
      </c>
    </row>
    <row r="21" ht="17" customHeight="1">
      <c r="B21" s="5" t="n">
        <v>46160</v>
      </c>
      <c r="C21" s="6" t="n">
        <v>0</v>
      </c>
      <c r="D21" s="6" t="n">
        <v>0</v>
      </c>
      <c r="E21" s="6" t="n">
        <v>0</v>
      </c>
      <c r="F21" s="6">
        <f>D21-E21</f>
        <v/>
      </c>
      <c r="G21" s="6">
        <f>F21-C21</f>
        <v/>
      </c>
      <c r="H21" s="21" t="n">
        <v>0</v>
      </c>
      <c r="I21" s="20" t="inlineStr">
        <is>
          <t>24.00-24.00 น. ปิดเตาอบกาก ทำแป้ง PURE-C</t>
        </is>
      </c>
    </row>
    <row r="22" ht="17" customHeight="1">
      <c r="B22" s="5" t="n">
        <v>46161</v>
      </c>
      <c r="C22" s="6" t="n">
        <v>0.88</v>
      </c>
      <c r="D22" s="6" t="n">
        <v>0.88</v>
      </c>
      <c r="E22" s="6" t="n">
        <v>0</v>
      </c>
      <c r="F22" s="6">
        <f>D22-E22</f>
        <v/>
      </c>
      <c r="G22" s="6">
        <f>F22-C22</f>
        <v/>
      </c>
      <c r="H22" s="21" t="n">
        <v>0</v>
      </c>
      <c r="I22" s="20" t="inlineStr">
        <is>
          <t>21.30 น. เปิดเตาอบกาก</t>
        </is>
      </c>
    </row>
    <row r="23" ht="17" customHeight="1">
      <c r="B23" s="5" t="n">
        <v>46162</v>
      </c>
      <c r="C23" s="6" t="n">
        <v>32.04</v>
      </c>
      <c r="D23" s="6" t="n">
        <v>30.52</v>
      </c>
      <c r="E23" s="6" t="n">
        <v>0</v>
      </c>
      <c r="F23" s="6">
        <f>D23-E23</f>
        <v/>
      </c>
      <c r="G23" s="6">
        <f>F23-C23</f>
        <v/>
      </c>
      <c r="H23" s="21" t="n">
        <v>0</v>
      </c>
      <c r="I23" s="20" t="inlineStr">
        <is>
          <t xml:space="preserve"> -</t>
        </is>
      </c>
    </row>
    <row r="24" ht="17" customHeight="1">
      <c r="B24" s="5" t="n">
        <v>46163</v>
      </c>
      <c r="C24" s="6" t="n">
        <v>32.04</v>
      </c>
      <c r="D24" s="6" t="n">
        <v>30.32</v>
      </c>
      <c r="E24" s="6" t="n">
        <v>0</v>
      </c>
      <c r="F24" s="6">
        <f>D24-E24</f>
        <v/>
      </c>
      <c r="G24" s="6">
        <f>F24-C24</f>
        <v/>
      </c>
      <c r="H24" s="21" t="n">
        <v>0</v>
      </c>
      <c r="I24" s="2" t="inlineStr">
        <is>
          <t xml:space="preserve"> -</t>
        </is>
      </c>
    </row>
    <row r="25" ht="17" customHeight="1">
      <c r="B25" s="5" t="n">
        <v>46164</v>
      </c>
      <c r="C25" s="6" t="n">
        <v>28.88</v>
      </c>
      <c r="D25" s="6" t="n">
        <v>28.88</v>
      </c>
      <c r="E25" s="6" t="n">
        <v>0</v>
      </c>
      <c r="F25" s="6">
        <f>D25-E25</f>
        <v/>
      </c>
      <c r="G25" s="6">
        <f>F25-C25</f>
        <v/>
      </c>
      <c r="H25" s="21" t="n">
        <v>0</v>
      </c>
      <c r="I25" s="2" t="inlineStr">
        <is>
          <t>06.10 น. ไฟฟ้าดับ (เบรกเกอร์ทริป)</t>
        </is>
      </c>
    </row>
    <row r="26" ht="17" customHeight="1">
      <c r="B26" s="5" t="n">
        <v>46165</v>
      </c>
      <c r="C26" s="6" t="n">
        <v>32.04</v>
      </c>
      <c r="D26" s="6" t="n">
        <v>30.96</v>
      </c>
      <c r="E26" s="6" t="n">
        <v>0</v>
      </c>
      <c r="F26" s="6">
        <f>D26-E26</f>
        <v/>
      </c>
      <c r="G26" s="6">
        <f>F26-C26</f>
        <v/>
      </c>
      <c r="H26" s="21" t="n">
        <v>0</v>
      </c>
      <c r="I26" s="2" t="inlineStr">
        <is>
          <t xml:space="preserve"> -</t>
        </is>
      </c>
    </row>
    <row r="27" ht="17" customHeight="1">
      <c r="B27" s="5" t="n">
        <v>46166</v>
      </c>
      <c r="C27" s="6" t="n">
        <v>32.04</v>
      </c>
      <c r="D27" s="6" t="n">
        <v>30.56</v>
      </c>
      <c r="E27" s="6" t="n">
        <v>0</v>
      </c>
      <c r="F27" s="6">
        <f>D27-E27</f>
        <v/>
      </c>
      <c r="G27" s="6">
        <f>F27-C27</f>
        <v/>
      </c>
      <c r="H27" s="21" t="n">
        <v>0</v>
      </c>
      <c r="I27" s="2" t="inlineStr">
        <is>
          <t xml:space="preserve"> -</t>
        </is>
      </c>
    </row>
    <row r="28" ht="17" customHeight="1">
      <c r="B28" s="5" t="n">
        <v>46167</v>
      </c>
      <c r="C28" s="6" t="n">
        <v>22.52</v>
      </c>
      <c r="D28" s="6" t="n">
        <v>22.52</v>
      </c>
      <c r="E28" s="6" t="n">
        <v>0</v>
      </c>
      <c r="F28" s="6">
        <f>D28-E28</f>
        <v/>
      </c>
      <c r="G28" s="6">
        <f>F28-C28</f>
        <v/>
      </c>
      <c r="H28" s="21" t="n">
        <v>488</v>
      </c>
      <c r="I28" s="2" t="inlineStr">
        <is>
          <t>14.22-22.30 น. ไฟฟ้าดับ (ของการไฟฟ้า)</t>
        </is>
      </c>
    </row>
    <row r="29" ht="17" customHeight="1">
      <c r="B29" s="5" t="n">
        <v>46168</v>
      </c>
      <c r="C29" s="6" t="n">
        <v>32.04</v>
      </c>
      <c r="D29" s="6" t="n">
        <v>33.36</v>
      </c>
      <c r="E29" s="6" t="n">
        <v>0</v>
      </c>
      <c r="F29" s="6">
        <f>D29-E29</f>
        <v/>
      </c>
      <c r="G29" s="6">
        <f>F29-C29</f>
        <v/>
      </c>
      <c r="H29" s="21" t="n">
        <v>0</v>
      </c>
      <c r="I29" s="2" t="inlineStr">
        <is>
          <t xml:space="preserve"> -</t>
        </is>
      </c>
    </row>
    <row r="30" ht="17" customHeight="1">
      <c r="B30" s="5" t="n">
        <v>46169</v>
      </c>
      <c r="C30" s="6" t="n">
        <v>32.04</v>
      </c>
      <c r="D30" s="6" t="n">
        <v>33.92</v>
      </c>
      <c r="E30" s="6" t="n">
        <v>0</v>
      </c>
      <c r="F30" s="6">
        <f>D30-E30</f>
        <v/>
      </c>
      <c r="G30" s="6">
        <f>F30-C30</f>
        <v/>
      </c>
      <c r="H30" s="21" t="n">
        <v>0</v>
      </c>
      <c r="I30" s="2" t="inlineStr">
        <is>
          <t xml:space="preserve"> -</t>
        </is>
      </c>
    </row>
    <row r="31" ht="17" customHeight="1">
      <c r="B31" s="5" t="n">
        <v>46170</v>
      </c>
      <c r="C31" s="6" t="n">
        <v>32.04</v>
      </c>
      <c r="D31" s="6" t="n">
        <v>31.61</v>
      </c>
      <c r="E31" s="6" t="n">
        <v>0</v>
      </c>
      <c r="F31" s="6">
        <f>D31-E31</f>
        <v/>
      </c>
      <c r="G31" s="6">
        <f>F31-C31</f>
        <v/>
      </c>
      <c r="H31" s="21" t="n">
        <v>0</v>
      </c>
      <c r="I31" s="2" t="inlineStr">
        <is>
          <t xml:space="preserve"> -</t>
        </is>
      </c>
    </row>
    <row r="32" ht="17" customHeight="1">
      <c r="B32" s="5" t="n">
        <v>46171</v>
      </c>
      <c r="C32" s="6" t="n">
        <v>32.04</v>
      </c>
      <c r="D32" s="6" t="n">
        <v>33.74</v>
      </c>
      <c r="E32" s="6" t="n">
        <v>0</v>
      </c>
      <c r="F32" s="6">
        <f>D32-E32</f>
        <v/>
      </c>
      <c r="G32" s="6">
        <f>F32-C32</f>
        <v/>
      </c>
      <c r="H32" s="21" t="n">
        <v>0</v>
      </c>
      <c r="I32" s="2" t="inlineStr">
        <is>
          <t xml:space="preserve"> -</t>
        </is>
      </c>
    </row>
    <row r="33" ht="17" customHeight="1">
      <c r="B33" s="5" t="n">
        <v>46172</v>
      </c>
      <c r="C33" s="6" t="n">
        <v>26.04</v>
      </c>
      <c r="D33" s="6" t="n">
        <v>26.04</v>
      </c>
      <c r="E33" s="6" t="n">
        <v>0</v>
      </c>
      <c r="F33" s="6">
        <f>D33-E33</f>
        <v/>
      </c>
      <c r="G33" s="6">
        <f>F33-C33</f>
        <v/>
      </c>
      <c r="H33" s="21" t="n">
        <v>365</v>
      </c>
      <c r="I33" s="2" t="inlineStr">
        <is>
          <t>05.35-11.40 น. ไฟฟ้าดับ (ของการไฟฟ้า)</t>
        </is>
      </c>
    </row>
    <row r="34" ht="17" customHeight="1">
      <c r="B34" s="5" t="n">
        <v>46173</v>
      </c>
      <c r="C34" s="6" t="n">
        <v>22.64</v>
      </c>
      <c r="D34" s="6" t="n">
        <v>22.64</v>
      </c>
      <c r="E34" s="6" t="n">
        <v>0</v>
      </c>
      <c r="F34" s="6">
        <f>D34-E34</f>
        <v/>
      </c>
      <c r="G34" s="6">
        <f>F34-C34</f>
        <v/>
      </c>
      <c r="H34" s="21" t="n">
        <v>0</v>
      </c>
      <c r="I34" s="2" t="inlineStr">
        <is>
          <t>14.00 น. ปิดเตาอบกาก</t>
        </is>
      </c>
    </row>
    <row r="35" ht="21" customHeight="1">
      <c r="B35" s="7" t="inlineStr">
        <is>
          <t>ยอดรวม</t>
        </is>
      </c>
      <c r="C35" s="22">
        <f>SUM(C4:C34)</f>
        <v/>
      </c>
      <c r="D35" s="22">
        <f>SUM(D4:D34)</f>
        <v/>
      </c>
      <c r="E35" s="9">
        <f>SUM(E4:E34)</f>
        <v/>
      </c>
      <c r="F35" s="22">
        <f>SUM(F4:F34)</f>
        <v/>
      </c>
      <c r="G35" s="8">
        <f>SUM(G4:G34)</f>
        <v/>
      </c>
      <c r="H35" s="23">
        <f>SUM(Table17[เวลาหยุดเครื่อง (นาที)])</f>
        <v/>
      </c>
      <c r="I35" s="10" t="inlineStr">
        <is>
          <t xml:space="preserve"> -</t>
        </is>
      </c>
    </row>
  </sheetData>
  <conditionalFormatting sqref="G4:G35">
    <cfRule type="cellIs" priority="1" operator="lessThan" dxfId="0">
      <formula>0</formula>
    </cfRule>
  </conditionalFormatting>
  <pageMargins left="0.25" right="0.25" top="0.75" bottom="0.75" header="0.3" footer="0.3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topLeftCell="A22" zoomScale="85" zoomScaleNormal="85" workbookViewId="0">
      <selection activeCell="I38" sqref="I38"/>
    </sheetView>
  </sheetViews>
  <sheetFormatPr baseColWidth="8" defaultRowHeight="14.5"/>
  <cols>
    <col width="2.6328125" customWidth="1" min="1" max="1"/>
    <col width="14.6328125" customWidth="1" min="2" max="2"/>
    <col width="18.6328125" customWidth="1" min="3" max="4"/>
    <col width="20.6328125" customWidth="1" min="5" max="5"/>
    <col width="22.6328125" customWidth="1" min="6" max="6"/>
    <col width="14.6328125" customWidth="1" min="7" max="7"/>
    <col width="20.6328125" customWidth="1" min="8" max="8"/>
    <col width="58.6328125" customWidth="1" min="9" max="9"/>
  </cols>
  <sheetData>
    <row r="2" ht="24" customHeight="1">
      <c r="B2" s="1" t="inlineStr">
        <is>
          <t>เตาอบเยอม</t>
        </is>
      </c>
      <c r="C2" s="1" t="inlineStr">
        <is>
          <t>เดือน พฤษภาคม 2569</t>
        </is>
      </c>
    </row>
    <row r="3" ht="17" customHeight="1">
      <c r="B3" s="2" t="inlineStr">
        <is>
          <t>วันที่ผลิต</t>
        </is>
      </c>
      <c r="C3" s="2" t="inlineStr">
        <is>
          <t>แผนผลิต (ตัน)</t>
        </is>
      </c>
      <c r="D3" s="3" t="inlineStr">
        <is>
          <t>ผลิตได้ (ตัน)</t>
        </is>
      </c>
      <c r="E3" s="4" t="inlineStr">
        <is>
          <t>จำนวนผสมเยอม (ตัน)</t>
        </is>
      </c>
      <c r="F3" s="4" t="inlineStr">
        <is>
          <t>ผลผลิตที่หักเยอมผสม (ตัน)</t>
        </is>
      </c>
      <c r="G3" s="4" t="inlineStr">
        <is>
          <t>ส่วนต่าง (ตัน)</t>
        </is>
      </c>
      <c r="H3" s="4" t="inlineStr">
        <is>
          <t>เวลาหยุดเครื่อง (นาที)</t>
        </is>
      </c>
      <c r="I3" s="4" t="inlineStr">
        <is>
          <t>หมายเหตุ</t>
        </is>
      </c>
    </row>
    <row r="4" ht="17" customHeight="1">
      <c r="B4" s="5" t="n">
        <v>46143</v>
      </c>
      <c r="C4" s="6" t="n">
        <v>11.76</v>
      </c>
      <c r="D4" s="6" t="n">
        <v>11.76</v>
      </c>
      <c r="E4" s="6" t="n">
        <v>0</v>
      </c>
      <c r="F4" s="6">
        <f>D4-E4</f>
        <v/>
      </c>
      <c r="G4" s="6">
        <f>F4-C4</f>
        <v/>
      </c>
      <c r="H4" s="21" t="n">
        <v>0</v>
      </c>
      <c r="I4" s="2" t="inlineStr">
        <is>
          <t>23.00 น. เปิดเตาอบเยอม</t>
        </is>
      </c>
    </row>
    <row r="5" ht="17" customHeight="1">
      <c r="B5" s="5" t="n">
        <v>46144</v>
      </c>
      <c r="C5" s="6" t="n">
        <v>12</v>
      </c>
      <c r="D5" s="6" t="n">
        <v>11.36</v>
      </c>
      <c r="E5" s="6" t="n">
        <v>2.36</v>
      </c>
      <c r="F5" s="6">
        <f>D5-E5</f>
        <v/>
      </c>
      <c r="G5" s="6">
        <f>F5-C5</f>
        <v/>
      </c>
      <c r="H5" s="21" t="n">
        <v>405</v>
      </c>
      <c r="I5" s="2" t="inlineStr">
        <is>
          <t>16.00-22.45 น. ปิดเตาอบเยอม เบรคเกอร์ SW มีปัญหาตัดการทำงานหลายครั้ง</t>
        </is>
      </c>
    </row>
    <row r="6" ht="17" customHeight="1">
      <c r="B6" s="5" t="n">
        <v>46145</v>
      </c>
      <c r="C6" s="6" t="n">
        <v>12</v>
      </c>
      <c r="D6" s="6" t="n">
        <v>12.4</v>
      </c>
      <c r="E6" s="6" t="n">
        <v>0</v>
      </c>
      <c r="F6" s="6">
        <f>D6-E6</f>
        <v/>
      </c>
      <c r="G6" s="6">
        <f>F6-C6</f>
        <v/>
      </c>
      <c r="H6" s="21" t="n">
        <v>0</v>
      </c>
      <c r="I6" s="2" t="inlineStr">
        <is>
          <t xml:space="preserve"> -</t>
        </is>
      </c>
    </row>
    <row r="7" ht="17" customHeight="1">
      <c r="B7" s="5" t="n">
        <v>46146</v>
      </c>
      <c r="C7" s="6" t="n">
        <v>12</v>
      </c>
      <c r="D7" s="6" t="n">
        <v>12.56</v>
      </c>
      <c r="E7" s="6" t="n">
        <v>0</v>
      </c>
      <c r="F7" s="6">
        <f>D7-E7</f>
        <v/>
      </c>
      <c r="G7" s="6">
        <f>F7-C7</f>
        <v/>
      </c>
      <c r="H7" s="21" t="n">
        <v>0</v>
      </c>
      <c r="I7" s="2" t="inlineStr">
        <is>
          <t xml:space="preserve"> -</t>
        </is>
      </c>
    </row>
    <row r="8" ht="17" customHeight="1">
      <c r="B8" s="5" t="n">
        <v>46147</v>
      </c>
      <c r="C8" s="6" t="n">
        <v>2.84</v>
      </c>
      <c r="D8" s="6" t="n">
        <v>2.84</v>
      </c>
      <c r="E8" s="6" t="n">
        <v>0</v>
      </c>
      <c r="F8" s="6">
        <f>D8-E8</f>
        <v/>
      </c>
      <c r="G8" s="6">
        <f>F8-C8</f>
        <v/>
      </c>
      <c r="H8" s="21" t="n">
        <v>1035</v>
      </c>
      <c r="I8" s="2" t="inlineStr">
        <is>
          <t>23.45-17.00 น. ไฟฟ้าดับ (ของการไฟฟ้า)</t>
        </is>
      </c>
    </row>
    <row r="9" ht="17" customHeight="1">
      <c r="B9" s="5" t="n">
        <v>46148</v>
      </c>
      <c r="C9" s="6" t="n">
        <v>12</v>
      </c>
      <c r="D9" s="6" t="n">
        <v>12.72</v>
      </c>
      <c r="E9" s="6" t="n">
        <v>0</v>
      </c>
      <c r="F9" s="6">
        <f>D9-E9</f>
        <v/>
      </c>
      <c r="G9" s="6">
        <f>F9-C9</f>
        <v/>
      </c>
      <c r="H9" s="21" t="n">
        <v>0</v>
      </c>
      <c r="I9" s="2" t="inlineStr">
        <is>
          <t xml:space="preserve"> -</t>
        </is>
      </c>
    </row>
    <row r="10" ht="17" customHeight="1">
      <c r="B10" s="5" t="n">
        <v>46149</v>
      </c>
      <c r="C10" s="6" t="n">
        <v>12</v>
      </c>
      <c r="D10" s="6" t="n">
        <v>12.24</v>
      </c>
      <c r="E10" s="6" t="n">
        <v>0</v>
      </c>
      <c r="F10" s="6">
        <f>D10-E10</f>
        <v/>
      </c>
      <c r="G10" s="6">
        <f>F10-C10</f>
        <v/>
      </c>
      <c r="H10" s="21" t="n">
        <v>0</v>
      </c>
      <c r="I10" s="2" t="inlineStr">
        <is>
          <t xml:space="preserve"> -</t>
        </is>
      </c>
    </row>
    <row r="11" ht="17" customHeight="1">
      <c r="B11" s="5" t="n">
        <v>46150</v>
      </c>
      <c r="C11" s="6" t="n">
        <v>12</v>
      </c>
      <c r="D11" s="6" t="n">
        <v>12.68</v>
      </c>
      <c r="E11" s="6" t="n">
        <v>0</v>
      </c>
      <c r="F11" s="6">
        <f>D11-E11</f>
        <v/>
      </c>
      <c r="G11" s="6">
        <f>F11-C11</f>
        <v/>
      </c>
      <c r="H11" s="21" t="n">
        <v>0</v>
      </c>
      <c r="I11" s="2" t="inlineStr">
        <is>
          <t xml:space="preserve"> -</t>
        </is>
      </c>
    </row>
    <row r="12" ht="17" customHeight="1">
      <c r="B12" s="5" t="n">
        <v>46151</v>
      </c>
      <c r="C12" s="6" t="n">
        <v>12</v>
      </c>
      <c r="D12" s="6" t="n">
        <v>11.84</v>
      </c>
      <c r="E12" s="6" t="n">
        <v>0</v>
      </c>
      <c r="F12" s="6">
        <f>D12-E12</f>
        <v/>
      </c>
      <c r="G12" s="6">
        <f>F12-C12</f>
        <v/>
      </c>
      <c r="H12" s="21" t="n">
        <v>0</v>
      </c>
      <c r="I12" s="2" t="inlineStr">
        <is>
          <t xml:space="preserve"> -</t>
        </is>
      </c>
    </row>
    <row r="13" ht="17" customHeight="1">
      <c r="B13" s="5" t="n">
        <v>46152</v>
      </c>
      <c r="C13" s="6" t="n">
        <v>12</v>
      </c>
      <c r="D13" s="6" t="n">
        <v>12.32</v>
      </c>
      <c r="E13" s="6" t="n">
        <v>0</v>
      </c>
      <c r="F13" s="6">
        <f>D13-E13</f>
        <v/>
      </c>
      <c r="G13" s="6">
        <f>F13-C13</f>
        <v/>
      </c>
      <c r="H13" s="21" t="n">
        <v>0</v>
      </c>
      <c r="I13" s="20" t="inlineStr">
        <is>
          <t xml:space="preserve"> -</t>
        </is>
      </c>
    </row>
    <row r="14" ht="17" customHeight="1">
      <c r="B14" s="5" t="n">
        <v>46153</v>
      </c>
      <c r="C14" s="6" t="n">
        <v>12</v>
      </c>
      <c r="D14" s="6" t="n">
        <v>14.32</v>
      </c>
      <c r="E14" s="6" t="n">
        <v>0</v>
      </c>
      <c r="F14" s="6">
        <f>D14-E14</f>
        <v/>
      </c>
      <c r="G14" s="6">
        <f>F14-C14</f>
        <v/>
      </c>
      <c r="H14" s="21" t="n">
        <v>180</v>
      </c>
      <c r="I14" s="20" t="inlineStr">
        <is>
          <t xml:space="preserve"> -</t>
        </is>
      </c>
    </row>
    <row r="15" ht="17" customHeight="1">
      <c r="B15" s="5" t="n">
        <v>46154</v>
      </c>
      <c r="C15" s="6" t="n">
        <v>12</v>
      </c>
      <c r="D15" s="6" t="n">
        <v>14.76</v>
      </c>
      <c r="E15" s="6" t="n">
        <v>0</v>
      </c>
      <c r="F15" s="6">
        <f>D15-E15</f>
        <v/>
      </c>
      <c r="G15" s="6">
        <f>F15-C15</f>
        <v/>
      </c>
      <c r="H15" s="21" t="n">
        <v>0</v>
      </c>
      <c r="I15" s="20" t="inlineStr">
        <is>
          <t xml:space="preserve"> -</t>
        </is>
      </c>
    </row>
    <row r="16" ht="17" customHeight="1">
      <c r="B16" s="5" t="n">
        <v>46155</v>
      </c>
      <c r="C16" s="6" t="n">
        <v>12</v>
      </c>
      <c r="D16" s="6" t="n">
        <v>15.72</v>
      </c>
      <c r="E16" s="6" t="n">
        <v>0.36</v>
      </c>
      <c r="F16" s="6">
        <f>D16-E16</f>
        <v/>
      </c>
      <c r="G16" s="6">
        <f>F16-C16</f>
        <v/>
      </c>
      <c r="H16" s="21" t="n">
        <v>0</v>
      </c>
      <c r="I16" s="20" t="inlineStr">
        <is>
          <t xml:space="preserve"> -</t>
        </is>
      </c>
    </row>
    <row r="17" ht="17" customHeight="1">
      <c r="B17" s="5" t="n">
        <v>46156</v>
      </c>
      <c r="C17" s="6" t="n">
        <v>8.08</v>
      </c>
      <c r="D17" s="6" t="n">
        <v>8.08</v>
      </c>
      <c r="E17" s="6" t="n">
        <v>0</v>
      </c>
      <c r="F17" s="6">
        <f>D17-E17</f>
        <v/>
      </c>
      <c r="G17" s="6">
        <f>F17-C17</f>
        <v/>
      </c>
      <c r="H17" s="21" t="n">
        <v>670</v>
      </c>
      <c r="I17" s="20" t="inlineStr">
        <is>
          <t>10.20-21.30 น. ปิดเตาอบเยอม ล้างเครื่องเมอร์โก้เช็ค Nozzle ตัน</t>
        </is>
      </c>
    </row>
    <row r="18" ht="17" customHeight="1">
      <c r="B18" s="5" t="n">
        <v>46157</v>
      </c>
      <c r="C18" s="6" t="n">
        <v>12</v>
      </c>
      <c r="D18" s="6" t="n">
        <v>14.2</v>
      </c>
      <c r="E18" s="6" t="n">
        <v>0</v>
      </c>
      <c r="F18" s="6">
        <f>D18-E18</f>
        <v/>
      </c>
      <c r="G18" s="6">
        <f>F18-C18</f>
        <v/>
      </c>
      <c r="H18" s="21" t="n">
        <v>0</v>
      </c>
      <c r="I18" s="20" t="inlineStr">
        <is>
          <t xml:space="preserve"> -</t>
        </is>
      </c>
    </row>
    <row r="19" ht="17" customHeight="1">
      <c r="B19" s="5" t="n">
        <v>46158</v>
      </c>
      <c r="C19" s="6" t="n">
        <v>12</v>
      </c>
      <c r="D19" s="6" t="n">
        <v>15.16</v>
      </c>
      <c r="E19" s="6" t="n">
        <v>0</v>
      </c>
      <c r="F19" s="6">
        <f>D19-E19</f>
        <v/>
      </c>
      <c r="G19" s="6">
        <f>F19-C19</f>
        <v/>
      </c>
      <c r="H19" s="21" t="n">
        <v>490</v>
      </c>
      <c r="I19" s="20" t="inlineStr">
        <is>
          <t xml:space="preserve"> -</t>
        </is>
      </c>
    </row>
    <row r="20" ht="17" customHeight="1">
      <c r="B20" s="5" t="n">
        <v>46159</v>
      </c>
      <c r="C20" s="6" t="n">
        <v>11</v>
      </c>
      <c r="D20" s="6" t="n">
        <v>11</v>
      </c>
      <c r="E20" s="6" t="n">
        <v>0</v>
      </c>
      <c r="F20" s="6">
        <f>D20-E20</f>
        <v/>
      </c>
      <c r="G20" s="6">
        <f>F20-C20</f>
        <v/>
      </c>
      <c r="H20" s="21" t="n">
        <v>0</v>
      </c>
      <c r="I20" s="20" t="inlineStr">
        <is>
          <t>17.00-24.00 น. ปิดเตาอบเยอม ทำแป้ง PURE-C</t>
        </is>
      </c>
    </row>
    <row r="21" ht="17" customHeight="1">
      <c r="B21" s="5" t="n">
        <v>46160</v>
      </c>
      <c r="C21" s="6" t="n">
        <v>0</v>
      </c>
      <c r="D21" s="6" t="n">
        <v>0</v>
      </c>
      <c r="E21" s="6" t="n">
        <v>0</v>
      </c>
      <c r="F21" s="6">
        <f>D21-E21</f>
        <v/>
      </c>
      <c r="G21" s="6">
        <f>F21-C21</f>
        <v/>
      </c>
      <c r="H21" s="21" t="n">
        <v>0</v>
      </c>
      <c r="I21" s="20" t="inlineStr">
        <is>
          <t>24.00-24.00 น. ปิดเตาอบเยอม ทำแป้ง PURE-C</t>
        </is>
      </c>
    </row>
    <row r="22" ht="17" customHeight="1">
      <c r="B22" s="5" t="n">
        <v>46161</v>
      </c>
      <c r="C22" s="6" t="n">
        <v>0.64</v>
      </c>
      <c r="D22" s="6" t="n">
        <v>0.64</v>
      </c>
      <c r="E22" s="6" t="n">
        <v>0</v>
      </c>
      <c r="F22" s="6">
        <f>D22-E22</f>
        <v/>
      </c>
      <c r="G22" s="6">
        <f>F22-C22</f>
        <v/>
      </c>
      <c r="H22" s="21" t="n">
        <v>0</v>
      </c>
      <c r="I22" s="20" t="inlineStr">
        <is>
          <t>21.30 น. เปิดเตาอบเยอม</t>
        </is>
      </c>
    </row>
    <row r="23" ht="17" customHeight="1">
      <c r="B23" s="5" t="n">
        <v>46162</v>
      </c>
      <c r="C23" s="6" t="n">
        <v>12</v>
      </c>
      <c r="D23" s="6" t="n">
        <v>15.08</v>
      </c>
      <c r="E23" s="6" t="n">
        <v>0.24</v>
      </c>
      <c r="F23" s="6">
        <f>D23-E23</f>
        <v/>
      </c>
      <c r="G23" s="6">
        <f>F23-C23</f>
        <v/>
      </c>
      <c r="H23" s="21" t="n">
        <v>0</v>
      </c>
      <c r="I23" s="20" t="inlineStr">
        <is>
          <t xml:space="preserve"> -</t>
        </is>
      </c>
    </row>
    <row r="24" ht="17" customHeight="1">
      <c r="B24" s="5" t="n">
        <v>46163</v>
      </c>
      <c r="C24" s="6" t="n">
        <v>12</v>
      </c>
      <c r="D24" s="6" t="n">
        <v>14.2</v>
      </c>
      <c r="E24" s="6" t="n">
        <v>0</v>
      </c>
      <c r="F24" s="6">
        <f>D24-E24</f>
        <v/>
      </c>
      <c r="G24" s="6">
        <f>F24-C24</f>
        <v/>
      </c>
      <c r="H24" s="21" t="n">
        <v>0</v>
      </c>
      <c r="I24" s="2" t="inlineStr">
        <is>
          <t xml:space="preserve"> -</t>
        </is>
      </c>
    </row>
    <row r="25" ht="17" customHeight="1">
      <c r="B25" s="5" t="n">
        <v>46164</v>
      </c>
      <c r="C25" s="6" t="n">
        <v>12</v>
      </c>
      <c r="D25" s="6" t="n">
        <v>13.56</v>
      </c>
      <c r="E25" s="6" t="n">
        <v>0</v>
      </c>
      <c r="F25" s="6">
        <f>D25-E25</f>
        <v/>
      </c>
      <c r="G25" s="6">
        <f>F25-C25</f>
        <v/>
      </c>
      <c r="H25" s="21" t="n">
        <v>0</v>
      </c>
      <c r="I25" s="2" t="inlineStr">
        <is>
          <t>06.10 น. ไฟฟ้าดับ (เบรกเกอร์ทริป)</t>
        </is>
      </c>
    </row>
    <row r="26" ht="17" customHeight="1">
      <c r="B26" s="5" t="n">
        <v>46165</v>
      </c>
      <c r="C26" s="6" t="n">
        <v>12</v>
      </c>
      <c r="D26" s="6" t="n">
        <v>14.44</v>
      </c>
      <c r="E26" s="6" t="n">
        <v>0</v>
      </c>
      <c r="F26" s="6">
        <f>D26-E26</f>
        <v/>
      </c>
      <c r="G26" s="6">
        <f>F26-C26</f>
        <v/>
      </c>
      <c r="H26" s="21" t="n">
        <v>0</v>
      </c>
      <c r="I26" s="2" t="inlineStr">
        <is>
          <t xml:space="preserve"> -</t>
        </is>
      </c>
    </row>
    <row r="27" ht="17" customHeight="1">
      <c r="B27" s="5" t="n">
        <v>46166</v>
      </c>
      <c r="C27" s="6" t="n">
        <v>12</v>
      </c>
      <c r="D27" s="6" t="n">
        <v>14</v>
      </c>
      <c r="E27" s="6" t="n">
        <v>0</v>
      </c>
      <c r="F27" s="6">
        <f>D27-E27</f>
        <v/>
      </c>
      <c r="G27" s="6">
        <f>F27-C27</f>
        <v/>
      </c>
      <c r="H27" s="21" t="n">
        <v>0</v>
      </c>
      <c r="I27" s="2" t="inlineStr">
        <is>
          <t xml:space="preserve"> -</t>
        </is>
      </c>
    </row>
    <row r="28" ht="17" customHeight="1">
      <c r="B28" s="5" t="n">
        <v>46167</v>
      </c>
      <c r="C28" s="6" t="n">
        <v>12</v>
      </c>
      <c r="D28" s="6" t="n">
        <v>9.960000000000001</v>
      </c>
      <c r="E28" s="6" t="n">
        <v>0</v>
      </c>
      <c r="F28" s="6">
        <f>D28-E28</f>
        <v/>
      </c>
      <c r="G28" s="6">
        <f>F28-C28</f>
        <v/>
      </c>
      <c r="H28" s="21" t="n">
        <v>488</v>
      </c>
      <c r="I28" s="2" t="inlineStr">
        <is>
          <t>14.22-22.30 น. ไฟฟ้าดับ (ของการไฟฟ้า)</t>
        </is>
      </c>
    </row>
    <row r="29" ht="17" customHeight="1">
      <c r="B29" s="5" t="n">
        <v>46168</v>
      </c>
      <c r="C29" s="6" t="n">
        <v>12</v>
      </c>
      <c r="D29" s="6" t="n">
        <v>13.64</v>
      </c>
      <c r="E29" s="6" t="n">
        <v>0</v>
      </c>
      <c r="F29" s="6">
        <f>D29-E29</f>
        <v/>
      </c>
      <c r="G29" s="6">
        <f>F29-C29</f>
        <v/>
      </c>
      <c r="H29" s="21" t="n">
        <v>0</v>
      </c>
      <c r="I29" s="2" t="inlineStr">
        <is>
          <t xml:space="preserve"> -</t>
        </is>
      </c>
    </row>
    <row r="30" ht="17" customHeight="1">
      <c r="B30" s="5" t="n">
        <v>46169</v>
      </c>
      <c r="C30" s="6" t="n">
        <v>12</v>
      </c>
      <c r="D30" s="6" t="n">
        <v>13.6</v>
      </c>
      <c r="E30" s="6" t="n">
        <v>0</v>
      </c>
      <c r="F30" s="6">
        <f>D30-E30</f>
        <v/>
      </c>
      <c r="G30" s="6">
        <f>F30-C30</f>
        <v/>
      </c>
      <c r="H30" s="21" t="n">
        <v>0</v>
      </c>
      <c r="I30" s="2" t="inlineStr">
        <is>
          <t xml:space="preserve"> -</t>
        </is>
      </c>
    </row>
    <row r="31" ht="17" customHeight="1">
      <c r="B31" s="5" t="n">
        <v>46170</v>
      </c>
      <c r="C31" s="6" t="n">
        <v>12</v>
      </c>
      <c r="D31" s="6" t="n">
        <v>13.92</v>
      </c>
      <c r="E31" s="6" t="n">
        <v>0</v>
      </c>
      <c r="F31" s="6">
        <f>D31-E31</f>
        <v/>
      </c>
      <c r="G31" s="6">
        <f>F31-C31</f>
        <v/>
      </c>
      <c r="H31" s="21" t="n">
        <v>0</v>
      </c>
      <c r="I31" s="2" t="inlineStr">
        <is>
          <t xml:space="preserve"> -</t>
        </is>
      </c>
    </row>
    <row r="32" ht="17" customHeight="1">
      <c r="B32" s="5" t="n">
        <v>46171</v>
      </c>
      <c r="C32" s="6" t="n">
        <v>12</v>
      </c>
      <c r="D32" s="6" t="n">
        <v>13.8</v>
      </c>
      <c r="E32" s="6" t="n">
        <v>0</v>
      </c>
      <c r="F32" s="6">
        <f>D32-E32</f>
        <v/>
      </c>
      <c r="G32" s="6">
        <f>F32-C32</f>
        <v/>
      </c>
      <c r="H32" s="21" t="n">
        <v>0</v>
      </c>
      <c r="I32" s="2" t="inlineStr">
        <is>
          <t xml:space="preserve"> -</t>
        </is>
      </c>
    </row>
    <row r="33" ht="17" customHeight="1">
      <c r="B33" s="5" t="n">
        <v>46172</v>
      </c>
      <c r="C33" s="6" t="n">
        <v>12</v>
      </c>
      <c r="D33" s="6" t="n">
        <v>10.56</v>
      </c>
      <c r="E33" s="6" t="n">
        <v>0</v>
      </c>
      <c r="F33" s="6">
        <f>D33-E33</f>
        <v/>
      </c>
      <c r="G33" s="6">
        <f>F33-C33</f>
        <v/>
      </c>
      <c r="H33" s="21" t="n">
        <v>315</v>
      </c>
      <c r="I33" s="2" t="inlineStr">
        <is>
          <t>05.35-10.50 น. ไฟฟ้าดับ (ของการไฟฟ้า)</t>
        </is>
      </c>
    </row>
    <row r="34" ht="17" customHeight="1">
      <c r="B34" s="5" t="n">
        <v>46173</v>
      </c>
      <c r="C34" s="6" t="n">
        <v>8.119999999999999</v>
      </c>
      <c r="D34" s="6" t="n">
        <v>8.119999999999999</v>
      </c>
      <c r="E34" s="6" t="n">
        <v>0</v>
      </c>
      <c r="F34" s="6">
        <f>D34-E34</f>
        <v/>
      </c>
      <c r="G34" s="6">
        <f>F34-C34</f>
        <v/>
      </c>
      <c r="H34" s="21" t="n">
        <v>0</v>
      </c>
      <c r="I34" s="2" t="inlineStr">
        <is>
          <t>14.00 น. ปิดเตาอบเยอม</t>
        </is>
      </c>
    </row>
    <row r="35" ht="21" customHeight="1">
      <c r="B35" s="7" t="inlineStr">
        <is>
          <t>ยอดรวม</t>
        </is>
      </c>
      <c r="C35" s="22">
        <f>SUM(C4:C34)</f>
        <v/>
      </c>
      <c r="D35" s="22">
        <f>SUM(D4:D34)</f>
        <v/>
      </c>
      <c r="E35" s="9">
        <f>SUM(E4:E34)</f>
        <v/>
      </c>
      <c r="F35" s="22">
        <f>SUM(F4:F34)</f>
        <v/>
      </c>
      <c r="G35" s="8">
        <f>SUM(G4:G34)</f>
        <v/>
      </c>
      <c r="H35" s="23">
        <f>SUM(Table178[เวลาหยุดเครื่อง (นาที)])</f>
        <v/>
      </c>
      <c r="I35" s="10" t="inlineStr">
        <is>
          <t xml:space="preserve"> -</t>
        </is>
      </c>
    </row>
  </sheetData>
  <conditionalFormatting sqref="G4:G35">
    <cfRule type="cellIs" priority="1" operator="lessThan" dxfId="0">
      <formula>0</formula>
    </cfRule>
  </conditionalFormatting>
  <pageMargins left="0.25" right="0.25" top="0.75" bottom="0.75" header="0.3" footer="0.3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5"/>
  <sheetViews>
    <sheetView showGridLines="0" tabSelected="1" topLeftCell="A4" zoomScale="85" zoomScaleNormal="85" workbookViewId="0">
      <selection activeCell="F38" sqref="F38"/>
    </sheetView>
  </sheetViews>
  <sheetFormatPr baseColWidth="8" defaultRowHeight="14.5"/>
  <cols>
    <col width="2.6328125" customWidth="1" min="1" max="1"/>
    <col width="14.6328125" customWidth="1" min="2" max="2"/>
    <col width="18.6328125" customWidth="1" min="3" max="4"/>
    <col width="20.6328125" customWidth="1" min="5" max="5"/>
    <col width="22.6328125" customWidth="1" min="6" max="6"/>
    <col width="14.6328125" customWidth="1" min="7" max="7"/>
    <col width="20.6328125" customWidth="1" min="8" max="8"/>
    <col width="58.6328125" customWidth="1" min="9" max="9"/>
  </cols>
  <sheetData>
    <row r="2" ht="24" customHeight="1">
      <c r="B2" s="1" t="inlineStr">
        <is>
          <t>เตาอบโปรตีน</t>
        </is>
      </c>
      <c r="C2" s="1" t="inlineStr">
        <is>
          <t>เดือน พฤษภาคม 2569</t>
        </is>
      </c>
    </row>
    <row r="3" ht="17" customHeight="1">
      <c r="B3" s="2" t="inlineStr">
        <is>
          <t>วันที่ผลิต</t>
        </is>
      </c>
      <c r="C3" s="2" t="inlineStr">
        <is>
          <t>แผนผลิต (ตัน)</t>
        </is>
      </c>
      <c r="D3" s="3" t="inlineStr">
        <is>
          <t>ผลิตได้ (ตัน)</t>
        </is>
      </c>
      <c r="E3" s="4" t="inlineStr">
        <is>
          <t>จำนวนผสมเยอม (ตัน)</t>
        </is>
      </c>
      <c r="F3" s="4" t="inlineStr">
        <is>
          <t>ผลผลิตที่หักเยอมผสม (ตัน)</t>
        </is>
      </c>
      <c r="G3" s="4" t="inlineStr">
        <is>
          <t>ส่วนต่าง (ตัน)</t>
        </is>
      </c>
      <c r="H3" s="4" t="inlineStr">
        <is>
          <t>เวลาหยุดเครื่อง (นาที)</t>
        </is>
      </c>
      <c r="I3" s="4" t="inlineStr">
        <is>
          <t>หมายเหตุ</t>
        </is>
      </c>
    </row>
    <row r="4" ht="17" customHeight="1">
      <c r="B4" s="5" t="n">
        <v>46143</v>
      </c>
      <c r="C4" s="6" t="n">
        <v>0</v>
      </c>
      <c r="D4" s="6" t="n">
        <v>0</v>
      </c>
      <c r="E4" s="6" t="n">
        <v>0</v>
      </c>
      <c r="F4" s="6">
        <f>D4-E4</f>
        <v/>
      </c>
      <c r="G4" s="6">
        <f>F4-C4</f>
        <v/>
      </c>
      <c r="H4" s="21" t="n">
        <v>0</v>
      </c>
      <c r="I4" s="2" t="inlineStr">
        <is>
          <t>08.00 น. เปิดเตาอบโปรตีน</t>
        </is>
      </c>
    </row>
    <row r="5" ht="17" customHeight="1">
      <c r="B5" s="5" t="n">
        <v>46144</v>
      </c>
      <c r="C5" s="6" t="n">
        <v>4.8</v>
      </c>
      <c r="D5" s="6" t="n">
        <v>4.8</v>
      </c>
      <c r="E5" s="6" t="n">
        <v>0</v>
      </c>
      <c r="F5" s="6">
        <f>D5-E5</f>
        <v/>
      </c>
      <c r="G5" s="6">
        <f>F5-C5</f>
        <v/>
      </c>
      <c r="H5" s="21" t="n">
        <v>405</v>
      </c>
      <c r="I5" s="2" t="inlineStr">
        <is>
          <t>16.00-22.45 น. ปิดเตาอบโปรตีน เบรคเกอร์ SW มีปัญหาตัดการทำงานหลายครั้ง</t>
        </is>
      </c>
    </row>
    <row r="6" ht="17" customHeight="1">
      <c r="B6" s="5" t="n">
        <v>46145</v>
      </c>
      <c r="C6" s="6" t="n">
        <v>7.2</v>
      </c>
      <c r="D6" s="6" t="n">
        <v>9.6</v>
      </c>
      <c r="E6" s="6" t="n">
        <v>0</v>
      </c>
      <c r="F6" s="6">
        <f>D6-E6</f>
        <v/>
      </c>
      <c r="G6" s="6">
        <f>F6-C6</f>
        <v/>
      </c>
      <c r="H6" s="21" t="n">
        <v>0</v>
      </c>
      <c r="I6" s="2" t="inlineStr">
        <is>
          <t xml:space="preserve"> -</t>
        </is>
      </c>
    </row>
    <row r="7" ht="17" customHeight="1">
      <c r="B7" s="5" t="n">
        <v>46146</v>
      </c>
      <c r="C7" s="6" t="n">
        <v>7.2</v>
      </c>
      <c r="D7" s="6" t="n">
        <v>9.6</v>
      </c>
      <c r="E7" s="6" t="n">
        <v>0</v>
      </c>
      <c r="F7" s="6">
        <f>D7-E7</f>
        <v/>
      </c>
      <c r="G7" s="6">
        <f>F7-C7</f>
        <v/>
      </c>
      <c r="H7" s="21" t="n">
        <v>0</v>
      </c>
      <c r="I7" s="2" t="inlineStr">
        <is>
          <t xml:space="preserve"> -</t>
        </is>
      </c>
    </row>
    <row r="8" ht="17" customHeight="1">
      <c r="B8" s="5" t="n">
        <v>46147</v>
      </c>
      <c r="C8" s="6" t="n">
        <v>4.8</v>
      </c>
      <c r="D8" s="6" t="n">
        <v>4.8</v>
      </c>
      <c r="E8" s="6" t="n">
        <v>0</v>
      </c>
      <c r="F8" s="6">
        <f>D8-E8</f>
        <v/>
      </c>
      <c r="G8" s="6">
        <f>F8-C8</f>
        <v/>
      </c>
      <c r="H8" s="21" t="n">
        <v>1035</v>
      </c>
      <c r="I8" s="2" t="inlineStr">
        <is>
          <t>23.45-17.00 น. ไฟฟ้าดับ (ของการไฟฟ้า)</t>
        </is>
      </c>
    </row>
    <row r="9" ht="17" customHeight="1">
      <c r="B9" s="5" t="n">
        <v>46148</v>
      </c>
      <c r="C9" s="6" t="n">
        <v>7.2</v>
      </c>
      <c r="D9" s="6" t="n">
        <v>6</v>
      </c>
      <c r="E9" s="6" t="n">
        <v>0</v>
      </c>
      <c r="F9" s="6">
        <f>D9-E9</f>
        <v/>
      </c>
      <c r="G9" s="6">
        <f>F9-C9</f>
        <v/>
      </c>
      <c r="H9" s="21" t="n">
        <v>0</v>
      </c>
      <c r="I9" s="2" t="inlineStr">
        <is>
          <t xml:space="preserve"> -</t>
        </is>
      </c>
    </row>
    <row r="10" ht="17" customHeight="1">
      <c r="B10" s="5" t="n">
        <v>46149</v>
      </c>
      <c r="C10" s="6" t="n">
        <v>7.2</v>
      </c>
      <c r="D10" s="6" t="n">
        <v>8.4</v>
      </c>
      <c r="E10" s="6" t="n">
        <v>0</v>
      </c>
      <c r="F10" s="6">
        <f>D10-E10</f>
        <v/>
      </c>
      <c r="G10" s="6">
        <f>F10-C10</f>
        <v/>
      </c>
      <c r="H10" s="21" t="n">
        <v>0</v>
      </c>
      <c r="I10" s="2" t="inlineStr">
        <is>
          <t xml:space="preserve"> -</t>
        </is>
      </c>
    </row>
    <row r="11" ht="17" customHeight="1">
      <c r="B11" s="5" t="n">
        <v>46150</v>
      </c>
      <c r="C11" s="6" t="n">
        <v>7.2</v>
      </c>
      <c r="D11" s="6" t="n">
        <v>9.6</v>
      </c>
      <c r="E11" s="6" t="n">
        <v>0</v>
      </c>
      <c r="F11" s="6">
        <f>D11-E11</f>
        <v/>
      </c>
      <c r="G11" s="6">
        <f>F11-C11</f>
        <v/>
      </c>
      <c r="H11" s="21" t="n">
        <v>0</v>
      </c>
      <c r="I11" s="2" t="inlineStr">
        <is>
          <t xml:space="preserve"> -</t>
        </is>
      </c>
    </row>
    <row r="12" ht="17" customHeight="1">
      <c r="B12" s="5" t="n">
        <v>46151</v>
      </c>
      <c r="C12" s="6" t="n">
        <v>7.2</v>
      </c>
      <c r="D12" s="6" t="n">
        <v>7.2</v>
      </c>
      <c r="E12" s="6" t="n">
        <v>0</v>
      </c>
      <c r="F12" s="6">
        <f>D12-E12</f>
        <v/>
      </c>
      <c r="G12" s="6">
        <f>F12-C12</f>
        <v/>
      </c>
      <c r="H12" s="21" t="n">
        <v>0</v>
      </c>
      <c r="I12" s="2" t="inlineStr">
        <is>
          <t xml:space="preserve"> -</t>
        </is>
      </c>
    </row>
    <row r="13" ht="17" customHeight="1">
      <c r="B13" s="5" t="n">
        <v>46152</v>
      </c>
      <c r="C13" s="6" t="n">
        <v>7.2</v>
      </c>
      <c r="D13" s="6" t="n">
        <v>8.4</v>
      </c>
      <c r="E13" s="6" t="n">
        <v>0</v>
      </c>
      <c r="F13" s="6">
        <f>D13-E13</f>
        <v/>
      </c>
      <c r="G13" s="6">
        <f>F13-C13</f>
        <v/>
      </c>
      <c r="H13" s="21" t="n">
        <v>0</v>
      </c>
      <c r="I13" s="20" t="inlineStr">
        <is>
          <t xml:space="preserve"> -</t>
        </is>
      </c>
    </row>
    <row r="14" ht="17" customHeight="1">
      <c r="B14" s="5" t="n">
        <v>46153</v>
      </c>
      <c r="C14" s="6" t="n">
        <v>7.2</v>
      </c>
      <c r="D14" s="6" t="n">
        <v>7.2</v>
      </c>
      <c r="E14" s="6" t="n">
        <v>0</v>
      </c>
      <c r="F14" s="6">
        <f>D14-E14</f>
        <v/>
      </c>
      <c r="G14" s="6">
        <f>F14-C14</f>
        <v/>
      </c>
      <c r="H14" s="21" t="n">
        <v>180</v>
      </c>
      <c r="I14" s="20" t="inlineStr">
        <is>
          <t xml:space="preserve"> -</t>
        </is>
      </c>
    </row>
    <row r="15" ht="17" customHeight="1">
      <c r="B15" s="5" t="n">
        <v>46154</v>
      </c>
      <c r="C15" s="6" t="n">
        <v>7.2</v>
      </c>
      <c r="D15" s="6" t="n">
        <v>7.2</v>
      </c>
      <c r="E15" s="6" t="n">
        <v>0</v>
      </c>
      <c r="F15" s="6">
        <f>D15-E15</f>
        <v/>
      </c>
      <c r="G15" s="6">
        <f>F15-C15</f>
        <v/>
      </c>
      <c r="H15" s="21" t="n">
        <v>0</v>
      </c>
      <c r="I15" s="20" t="inlineStr">
        <is>
          <t xml:space="preserve"> -</t>
        </is>
      </c>
    </row>
    <row r="16" ht="17" customHeight="1">
      <c r="B16" s="5" t="n">
        <v>46155</v>
      </c>
      <c r="C16" s="6" t="n">
        <v>7.2</v>
      </c>
      <c r="D16" s="6" t="n">
        <v>8.4</v>
      </c>
      <c r="E16" s="6" t="n">
        <v>0.36</v>
      </c>
      <c r="F16" s="6">
        <f>D16-E16</f>
        <v/>
      </c>
      <c r="G16" s="6">
        <f>F16-C16</f>
        <v/>
      </c>
      <c r="H16" s="21" t="n">
        <v>0</v>
      </c>
      <c r="I16" s="20" t="inlineStr">
        <is>
          <t xml:space="preserve"> -</t>
        </is>
      </c>
    </row>
    <row r="17" ht="17" customHeight="1">
      <c r="B17" s="5" t="n">
        <v>46156</v>
      </c>
      <c r="C17" s="6" t="n">
        <v>7.2</v>
      </c>
      <c r="D17" s="6" t="n">
        <v>4.8</v>
      </c>
      <c r="E17" s="6" t="n">
        <v>0</v>
      </c>
      <c r="F17" s="6">
        <f>D17-E17</f>
        <v/>
      </c>
      <c r="G17" s="6">
        <f>F17-C17</f>
        <v/>
      </c>
      <c r="H17" s="21" t="n">
        <v>480</v>
      </c>
      <c r="I17" s="20" t="inlineStr">
        <is>
          <t>16.00-24.00 น. ปิดเตาอบโปรตีน ล้างเครื่องเมอร์โก้เช็ค Nozzle ตัน</t>
        </is>
      </c>
    </row>
    <row r="18" ht="17" customHeight="1">
      <c r="B18" s="5" t="n">
        <v>46157</v>
      </c>
      <c r="C18" s="6" t="n">
        <v>7.2</v>
      </c>
      <c r="D18" s="6" t="n">
        <v>4.8</v>
      </c>
      <c r="E18" s="6" t="n">
        <v>0</v>
      </c>
      <c r="F18" s="6">
        <f>D18-E18</f>
        <v/>
      </c>
      <c r="G18" s="6">
        <f>F18-C18</f>
        <v/>
      </c>
      <c r="H18" s="21" t="n">
        <v>210</v>
      </c>
      <c r="I18" s="20" t="inlineStr">
        <is>
          <t>24.00-03.30 น. ปิดเตาอบโปรตีน ล้างเครื่องเมอร์โก้เช็ค Nozzle ตัน</t>
        </is>
      </c>
    </row>
    <row r="19" ht="17" customHeight="1">
      <c r="B19" s="5" t="n">
        <v>46158</v>
      </c>
      <c r="C19" s="6" t="n">
        <v>7.2</v>
      </c>
      <c r="D19" s="6" t="n">
        <v>8.4</v>
      </c>
      <c r="E19" s="6" t="n">
        <v>0</v>
      </c>
      <c r="F19" s="6">
        <f>D19-E19</f>
        <v/>
      </c>
      <c r="G19" s="6">
        <f>F19-C19</f>
        <v/>
      </c>
      <c r="H19" s="21" t="n">
        <v>490</v>
      </c>
      <c r="I19" s="20" t="inlineStr">
        <is>
          <t xml:space="preserve"> -</t>
        </is>
      </c>
    </row>
    <row r="20" ht="17" customHeight="1">
      <c r="B20" s="5" t="n">
        <v>46159</v>
      </c>
      <c r="C20" s="6" t="n">
        <v>7.2</v>
      </c>
      <c r="D20" s="6" t="n">
        <v>7.2</v>
      </c>
      <c r="E20" s="6" t="n">
        <v>0</v>
      </c>
      <c r="F20" s="6">
        <f>D20-E20</f>
        <v/>
      </c>
      <c r="G20" s="6">
        <f>F20-C20</f>
        <v/>
      </c>
      <c r="H20" s="21" t="n">
        <v>0</v>
      </c>
      <c r="I20" s="20" t="inlineStr">
        <is>
          <t xml:space="preserve"> -</t>
        </is>
      </c>
    </row>
    <row r="21" ht="17" customHeight="1">
      <c r="B21" s="5" t="n">
        <v>46160</v>
      </c>
      <c r="C21" s="6" t="n">
        <v>7.2</v>
      </c>
      <c r="D21" s="6" t="n">
        <v>8.4</v>
      </c>
      <c r="E21" s="6" t="n">
        <v>0</v>
      </c>
      <c r="F21" s="6">
        <f>D21-E21</f>
        <v/>
      </c>
      <c r="G21" s="6">
        <f>F21-C21</f>
        <v/>
      </c>
      <c r="H21" s="21" t="n">
        <v>0</v>
      </c>
      <c r="I21" s="20" t="inlineStr">
        <is>
          <t xml:space="preserve"> -</t>
        </is>
      </c>
    </row>
    <row r="22" ht="17" customHeight="1">
      <c r="B22" s="5" t="n">
        <v>46161</v>
      </c>
      <c r="C22" s="6" t="n">
        <v>0</v>
      </c>
      <c r="D22" s="6" t="n">
        <v>0</v>
      </c>
      <c r="E22" s="6" t="n">
        <v>0</v>
      </c>
      <c r="F22" s="6">
        <f>D22-E22</f>
        <v/>
      </c>
      <c r="G22" s="6">
        <f>F22-C22</f>
        <v/>
      </c>
      <c r="H22" s="21" t="n">
        <v>0</v>
      </c>
      <c r="I22" s="20" t="inlineStr">
        <is>
          <t>02.00-24.00 น. ปิดเตาอบโปรตีน ทำแป้ง PURE-C</t>
        </is>
      </c>
    </row>
    <row r="23" ht="17" customHeight="1">
      <c r="B23" s="5" t="n">
        <v>46162</v>
      </c>
      <c r="C23" s="6" t="n">
        <v>0</v>
      </c>
      <c r="D23" s="6" t="n">
        <v>0</v>
      </c>
      <c r="E23" s="6" t="n">
        <v>0.24</v>
      </c>
      <c r="F23" s="6">
        <f>D23-E23</f>
        <v/>
      </c>
      <c r="G23" s="6">
        <f>F23-C23</f>
        <v/>
      </c>
      <c r="H23" s="21" t="n">
        <v>0</v>
      </c>
      <c r="I23" s="20" t="inlineStr">
        <is>
          <t>06.00 น. เปิดเตาอบโปรตีน</t>
        </is>
      </c>
    </row>
    <row r="24" ht="17" customHeight="1">
      <c r="B24" s="5" t="n">
        <v>46163</v>
      </c>
      <c r="C24" s="6" t="n">
        <v>1.4</v>
      </c>
      <c r="D24" s="6" t="n">
        <v>6</v>
      </c>
      <c r="E24" s="6" t="n">
        <v>4.6</v>
      </c>
      <c r="F24" s="6">
        <f>D24-E24</f>
        <v/>
      </c>
      <c r="G24" s="6">
        <f>F24-C24</f>
        <v/>
      </c>
      <c r="H24" s="21" t="n">
        <v>0</v>
      </c>
      <c r="I24" s="2" t="inlineStr">
        <is>
          <t xml:space="preserve"> -</t>
        </is>
      </c>
    </row>
    <row r="25" ht="17" customHeight="1">
      <c r="B25" s="5" t="n">
        <v>46164</v>
      </c>
      <c r="C25" s="6" t="n">
        <v>7.2</v>
      </c>
      <c r="D25" s="6" t="n">
        <v>4.8</v>
      </c>
      <c r="E25" s="6" t="n">
        <v>1.2</v>
      </c>
      <c r="F25" s="6">
        <f>D25-E25</f>
        <v/>
      </c>
      <c r="G25" s="6">
        <f>F25-C25</f>
        <v/>
      </c>
      <c r="H25" s="21" t="n">
        <v>0</v>
      </c>
      <c r="I25" s="2" t="inlineStr">
        <is>
          <t>PC โปรตีนต่ำ</t>
        </is>
      </c>
    </row>
    <row r="26" ht="17" customHeight="1">
      <c r="B26" s="5" t="n">
        <v>46165</v>
      </c>
      <c r="C26" s="6" t="n">
        <v>7.2</v>
      </c>
      <c r="D26" s="6" t="n">
        <v>3.6</v>
      </c>
      <c r="E26" s="6" t="n">
        <v>0.4</v>
      </c>
      <c r="F26" s="6">
        <f>D26-E26</f>
        <v/>
      </c>
      <c r="G26" s="6">
        <f>F26-C26</f>
        <v/>
      </c>
      <c r="H26" s="21" t="n">
        <v>0</v>
      </c>
      <c r="I26" s="2" t="inlineStr">
        <is>
          <t>PC โปรตีนต่ำ</t>
        </is>
      </c>
    </row>
    <row r="27" ht="17" customHeight="1">
      <c r="B27" s="5" t="n">
        <v>46166</v>
      </c>
      <c r="C27" s="6" t="n">
        <v>7.2</v>
      </c>
      <c r="D27" s="6" t="n">
        <v>10.8</v>
      </c>
      <c r="E27" s="6" t="n">
        <v>1.2</v>
      </c>
      <c r="F27" s="6">
        <f>D27-E27</f>
        <v/>
      </c>
      <c r="G27" s="6">
        <f>F27-C27</f>
        <v/>
      </c>
      <c r="H27" s="21" t="n">
        <v>0</v>
      </c>
      <c r="I27" s="2" t="inlineStr">
        <is>
          <t xml:space="preserve"> -</t>
        </is>
      </c>
    </row>
    <row r="28" ht="17" customHeight="1">
      <c r="B28" s="5" t="n">
        <v>46167</v>
      </c>
      <c r="C28" s="6" t="n">
        <v>7.2</v>
      </c>
      <c r="D28" s="6" t="n">
        <v>9.6</v>
      </c>
      <c r="E28" s="6" t="n">
        <v>0</v>
      </c>
      <c r="F28" s="6">
        <f>D28-E28</f>
        <v/>
      </c>
      <c r="G28" s="6">
        <f>F28-C28</f>
        <v/>
      </c>
      <c r="H28" s="21" t="n">
        <v>488</v>
      </c>
      <c r="I28" s="2" t="inlineStr">
        <is>
          <t>14.22-22.30 น. ไฟฟ้าดับ (ของการไฟฟ้า)</t>
        </is>
      </c>
    </row>
    <row r="29" ht="17" customHeight="1">
      <c r="B29" s="5" t="n">
        <v>46168</v>
      </c>
      <c r="C29" s="6" t="n">
        <v>7.2</v>
      </c>
      <c r="D29" s="6" t="n">
        <v>9.6</v>
      </c>
      <c r="E29" s="6" t="n">
        <v>1.3</v>
      </c>
      <c r="F29" s="6">
        <f>D29-E29</f>
        <v/>
      </c>
      <c r="G29" s="6">
        <f>F29-C29</f>
        <v/>
      </c>
      <c r="H29" s="21" t="n">
        <v>0</v>
      </c>
      <c r="I29" s="2" t="inlineStr">
        <is>
          <t xml:space="preserve"> -</t>
        </is>
      </c>
    </row>
    <row r="30" ht="17" customHeight="1">
      <c r="B30" s="5" t="n">
        <v>46169</v>
      </c>
      <c r="C30" s="6" t="n">
        <v>7.2</v>
      </c>
      <c r="D30" s="6" t="n">
        <v>8.4</v>
      </c>
      <c r="E30" s="6" t="n">
        <v>1.05</v>
      </c>
      <c r="F30" s="6">
        <f>D30-E30</f>
        <v/>
      </c>
      <c r="G30" s="6">
        <f>F30-C30</f>
        <v/>
      </c>
      <c r="H30" s="21" t="n">
        <v>0</v>
      </c>
      <c r="I30" s="2" t="inlineStr">
        <is>
          <t xml:space="preserve"> -</t>
        </is>
      </c>
    </row>
    <row r="31" ht="17" customHeight="1">
      <c r="B31" s="5" t="n">
        <v>46170</v>
      </c>
      <c r="C31" s="6" t="n">
        <v>7.2</v>
      </c>
      <c r="D31" s="6" t="n">
        <v>9.6</v>
      </c>
      <c r="E31" s="6" t="n">
        <v>0</v>
      </c>
      <c r="F31" s="6">
        <f>D31-E31</f>
        <v/>
      </c>
      <c r="G31" s="6">
        <f>F31-C31</f>
        <v/>
      </c>
      <c r="H31" s="21" t="n">
        <v>0</v>
      </c>
      <c r="I31" s="2" t="inlineStr">
        <is>
          <t xml:space="preserve"> -</t>
        </is>
      </c>
    </row>
    <row r="32" ht="17" customHeight="1">
      <c r="B32" s="5" t="n">
        <v>46171</v>
      </c>
      <c r="C32" s="6" t="n">
        <v>7.2</v>
      </c>
      <c r="D32" s="6" t="n">
        <v>10.8</v>
      </c>
      <c r="E32" s="6" t="n">
        <v>0</v>
      </c>
      <c r="F32" s="6">
        <f>D32-E32</f>
        <v/>
      </c>
      <c r="G32" s="6">
        <f>F32-C32</f>
        <v/>
      </c>
      <c r="H32" s="21" t="n">
        <v>0</v>
      </c>
      <c r="I32" s="2" t="inlineStr">
        <is>
          <t xml:space="preserve"> -</t>
        </is>
      </c>
    </row>
    <row r="33" ht="17" customHeight="1">
      <c r="B33" s="5" t="n">
        <v>46172</v>
      </c>
      <c r="C33" s="6" t="n">
        <v>7.2</v>
      </c>
      <c r="D33" s="6" t="n">
        <v>10.8</v>
      </c>
      <c r="E33" s="6" t="n">
        <v>0</v>
      </c>
      <c r="F33" s="6">
        <f>D33-E33</f>
        <v/>
      </c>
      <c r="G33" s="6">
        <f>F33-C33</f>
        <v/>
      </c>
      <c r="H33" s="21" t="n">
        <v>95</v>
      </c>
      <c r="I33" s="2" t="inlineStr">
        <is>
          <t>05.35-07.10 น. ไฟฟ้าดับ (ของการไฟฟ้า)</t>
        </is>
      </c>
    </row>
    <row r="34" ht="17" customHeight="1">
      <c r="B34" s="5" t="n">
        <v>46173</v>
      </c>
      <c r="C34" s="6" t="n">
        <v>7.2</v>
      </c>
      <c r="D34" s="6" t="n">
        <v>19.65</v>
      </c>
      <c r="E34" s="6" t="n">
        <v>0</v>
      </c>
      <c r="F34" s="6">
        <f>D34-E34</f>
        <v/>
      </c>
      <c r="G34" s="6">
        <f>F34-C34</f>
        <v/>
      </c>
      <c r="H34" s="21" t="n">
        <v>0</v>
      </c>
      <c r="I34" s="2" t="inlineStr">
        <is>
          <t>19.30 น. ปิดเตาอบโปรตีน</t>
        </is>
      </c>
    </row>
    <row r="35" ht="21" customHeight="1">
      <c r="B35" s="7" t="inlineStr">
        <is>
          <t>ยอดรวม</t>
        </is>
      </c>
      <c r="C35" s="22">
        <f>SUM(C4:C34)</f>
        <v/>
      </c>
      <c r="D35" s="22">
        <f>SUM(D4:D34)</f>
        <v/>
      </c>
      <c r="E35" s="9">
        <f>SUM(E4:E34)</f>
        <v/>
      </c>
      <c r="F35" s="22">
        <f>SUM(F4:F34)</f>
        <v/>
      </c>
      <c r="G35" s="8">
        <f>SUM(G4:G34)</f>
        <v/>
      </c>
      <c r="H35" s="23">
        <f>SUM(Table1789[เวลาหยุดเครื่อง (นาที)])</f>
        <v/>
      </c>
      <c r="I35" s="10" t="inlineStr">
        <is>
          <t xml:space="preserve"> -</t>
        </is>
      </c>
    </row>
  </sheetData>
  <conditionalFormatting sqref="G4:G35">
    <cfRule type="cellIs" priority="1" operator="lessThan" dxfId="0">
      <formula>0</formula>
    </cfRule>
  </conditionalFormatting>
  <pageMargins left="0.25" right="0.25" top="0.75" bottom="0.75" header="0.3" footer="0.3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35"/>
  <sheetViews>
    <sheetView zoomScaleNormal="100" workbookViewId="0">
      <selection activeCell="H25" sqref="H25"/>
    </sheetView>
  </sheetViews>
  <sheetFormatPr baseColWidth="8" defaultRowHeight="14.5"/>
  <cols>
    <col width="2.6328125" customWidth="1" min="1" max="1"/>
    <col width="14.6328125" customWidth="1" min="2" max="2"/>
    <col width="12.6328125" customWidth="1" min="3" max="4"/>
    <col width="16.6328125" customWidth="1" min="5" max="5"/>
    <col width="28.6328125" customWidth="1" min="6" max="6"/>
  </cols>
  <sheetData>
    <row r="2" ht="24" customHeight="1">
      <c r="B2" s="1" t="inlineStr">
        <is>
          <t>Evaporator HSW</t>
        </is>
      </c>
      <c r="C2" s="1" t="inlineStr">
        <is>
          <t xml:space="preserve">    เดือน พฤษภาคม 2569</t>
        </is>
      </c>
      <c r="E2" s="16" t="inlineStr">
        <is>
          <t>(Remark Pack Steep water quality 100% 4 Tonne : Day)</t>
        </is>
      </c>
    </row>
    <row r="3" ht="21" customHeight="1">
      <c r="B3" s="15" t="inlineStr">
        <is>
          <t>วันที่ผลิต</t>
        </is>
      </c>
      <c r="C3" s="15" t="inlineStr">
        <is>
          <t>แผนผลิต (ตัน)</t>
        </is>
      </c>
      <c r="D3" s="15" t="inlineStr">
        <is>
          <t>ผลิตได้ (ตัน)</t>
        </is>
      </c>
      <c r="E3" s="15" t="inlineStr">
        <is>
          <t>เวลาหยุดเครื่อง (นาที)</t>
        </is>
      </c>
      <c r="F3" s="15" t="inlineStr">
        <is>
          <t>หมายเหตุ</t>
        </is>
      </c>
    </row>
    <row r="4" ht="17" customHeight="1">
      <c r="B4" s="17" t="n">
        <v>46143</v>
      </c>
      <c r="C4" s="11" t="n">
        <v>4.2</v>
      </c>
      <c r="D4" s="11" t="n">
        <v>0</v>
      </c>
      <c r="E4" s="11" t="n">
        <v>0</v>
      </c>
      <c r="F4" s="18" t="inlineStr">
        <is>
          <t>ไม่มี Order นำน้ำ HSW ไปผสมกากกับโปรตีน</t>
        </is>
      </c>
    </row>
    <row r="5" ht="17" customHeight="1">
      <c r="B5" s="17" t="n">
        <v>46144</v>
      </c>
      <c r="C5" s="11" t="n">
        <v>4.2</v>
      </c>
      <c r="D5" s="11" t="n">
        <v>0</v>
      </c>
      <c r="E5" s="11" t="n">
        <v>0</v>
      </c>
      <c r="F5" s="18" t="inlineStr">
        <is>
          <t>ไม่มี Order นำน้ำ HSW ไปผสมกากกับโปรตีน</t>
        </is>
      </c>
    </row>
    <row r="6" ht="17" customHeight="1">
      <c r="B6" s="17" t="n">
        <v>46145</v>
      </c>
      <c r="C6" s="11" t="n">
        <v>4.2</v>
      </c>
      <c r="D6" s="11" t="n">
        <v>0</v>
      </c>
      <c r="E6" s="11" t="n">
        <v>0</v>
      </c>
      <c r="F6" s="18" t="inlineStr">
        <is>
          <t>ไม่มี Order นำน้ำ HSW ไปผสมกากกับโปรตีน</t>
        </is>
      </c>
    </row>
    <row r="7" ht="21" customHeight="1">
      <c r="B7" s="17" t="n">
        <v>46146</v>
      </c>
      <c r="C7" s="11" t="n">
        <v>4.2</v>
      </c>
      <c r="D7" s="11" t="n">
        <v>0</v>
      </c>
      <c r="E7" s="11" t="n">
        <v>0</v>
      </c>
      <c r="F7" s="18" t="inlineStr">
        <is>
          <t>ไม่มี Order นำน้ำ HSW ไปผสมกากกับโปรตีน</t>
        </is>
      </c>
      <c r="I7" s="19" t="n"/>
    </row>
    <row r="8" ht="17" customHeight="1">
      <c r="B8" s="17" t="n">
        <v>46147</v>
      </c>
      <c r="C8" s="11" t="n">
        <v>4.2</v>
      </c>
      <c r="D8" s="11" t="n">
        <v>0</v>
      </c>
      <c r="E8" s="11" t="n">
        <v>0</v>
      </c>
      <c r="F8" s="18" t="inlineStr">
        <is>
          <t>ไม่มี Order นำน้ำ HSW ไปผสมกากกับโปรตีน</t>
        </is>
      </c>
    </row>
    <row r="9" ht="17" customHeight="1">
      <c r="B9" s="17" t="n">
        <v>46148</v>
      </c>
      <c r="C9" s="11" t="n">
        <v>4.2</v>
      </c>
      <c r="D9" s="11" t="n">
        <v>0</v>
      </c>
      <c r="E9" s="11" t="n">
        <v>0</v>
      </c>
      <c r="F9" s="18" t="inlineStr">
        <is>
          <t>ไม่มี Order นำน้ำ HSW ไปผสมกากกับโปรตีน</t>
        </is>
      </c>
    </row>
    <row r="10" ht="17" customHeight="1">
      <c r="B10" s="17" t="n">
        <v>46149</v>
      </c>
      <c r="C10" s="11" t="n">
        <v>4.2</v>
      </c>
      <c r="D10" s="11" t="n">
        <v>0</v>
      </c>
      <c r="E10" s="11" t="n">
        <v>0</v>
      </c>
      <c r="F10" s="18" t="inlineStr">
        <is>
          <t>ไม่มี Order นำน้ำ HSW ไปผสมกากกับโปรตีน</t>
        </is>
      </c>
    </row>
    <row r="11" ht="17" customHeight="1">
      <c r="B11" s="17" t="n">
        <v>46150</v>
      </c>
      <c r="C11" s="11" t="n">
        <v>4.2</v>
      </c>
      <c r="D11" s="11" t="n">
        <v>0</v>
      </c>
      <c r="E11" s="11" t="n">
        <v>0</v>
      </c>
      <c r="F11" s="18" t="inlineStr">
        <is>
          <t>ไม่มี Order นำน้ำ HSW ไปผสมกากกับโปรตีน</t>
        </is>
      </c>
    </row>
    <row r="12" ht="17" customHeight="1">
      <c r="B12" s="17" t="n">
        <v>46151</v>
      </c>
      <c r="C12" s="11" t="n">
        <v>4.2</v>
      </c>
      <c r="D12" s="11" t="n">
        <v>0</v>
      </c>
      <c r="E12" s="11" t="n">
        <v>0</v>
      </c>
      <c r="F12" s="18" t="inlineStr">
        <is>
          <t>ไม่มี Order นำน้ำ HSW ไปผสมกากกับโปรตีน</t>
        </is>
      </c>
    </row>
    <row r="13" ht="17" customHeight="1">
      <c r="A13" t="inlineStr">
        <is>
          <t> </t>
        </is>
      </c>
      <c r="B13" s="17" t="n">
        <v>46152</v>
      </c>
      <c r="C13" s="11" t="n">
        <v>4.2</v>
      </c>
      <c r="D13" s="11" t="n">
        <v>0</v>
      </c>
      <c r="E13" s="11" t="n">
        <v>0</v>
      </c>
      <c r="F13" s="18" t="inlineStr">
        <is>
          <t>ไม่มี Order นำน้ำ HSW ไปผสมกากกับโปรตีน</t>
        </is>
      </c>
    </row>
    <row r="14" ht="17" customHeight="1">
      <c r="B14" s="17" t="n">
        <v>46153</v>
      </c>
      <c r="C14" s="11" t="n">
        <v>4.2</v>
      </c>
      <c r="D14" s="11" t="n">
        <v>0</v>
      </c>
      <c r="E14" s="11" t="n">
        <v>0</v>
      </c>
      <c r="F14" s="18" t="inlineStr">
        <is>
          <t>ไม่มี Order นำน้ำ HSW ไปผสมกากกับโปรตีน</t>
        </is>
      </c>
    </row>
    <row r="15" ht="17" customHeight="1">
      <c r="B15" s="17" t="n">
        <v>46154</v>
      </c>
      <c r="C15" s="11" t="n">
        <v>4.2</v>
      </c>
      <c r="D15" s="11" t="n">
        <v>0</v>
      </c>
      <c r="E15" s="11" t="n">
        <v>0</v>
      </c>
      <c r="F15" s="18" t="inlineStr">
        <is>
          <t>ไม่มี Order นำน้ำ HSW ไปผสมกากกับโปรตีน</t>
        </is>
      </c>
    </row>
    <row r="16" ht="17" customHeight="1">
      <c r="B16" s="17" t="n">
        <v>46155</v>
      </c>
      <c r="C16" s="11" t="n">
        <v>4.2</v>
      </c>
      <c r="D16" s="11" t="n">
        <v>0</v>
      </c>
      <c r="E16" s="11" t="n">
        <v>0</v>
      </c>
      <c r="F16" s="18" t="inlineStr">
        <is>
          <t>ไม่มี Order นำน้ำ HSW ไปผสมกากกับโปรตีน</t>
        </is>
      </c>
    </row>
    <row r="17" ht="17" customHeight="1">
      <c r="B17" s="17" t="n">
        <v>46156</v>
      </c>
      <c r="C17" s="11" t="n">
        <v>4.2</v>
      </c>
      <c r="D17" s="11" t="n">
        <v>0</v>
      </c>
      <c r="E17" s="11" t="n">
        <v>0</v>
      </c>
      <c r="F17" s="18" t="inlineStr">
        <is>
          <t>ไม่มี Order นำน้ำ HSW ไปผสมกากกับโปรตีน</t>
        </is>
      </c>
    </row>
    <row r="18" ht="17" customHeight="1">
      <c r="B18" s="17" t="n">
        <v>46157</v>
      </c>
      <c r="C18" s="11" t="n">
        <v>4.2</v>
      </c>
      <c r="D18" s="11" t="n">
        <v>0</v>
      </c>
      <c r="E18" s="11" t="n">
        <v>0</v>
      </c>
      <c r="F18" s="18" t="inlineStr">
        <is>
          <t>ไม่มี Order นำน้ำ HSW ไปผสมกากกับโปรตีน</t>
        </is>
      </c>
    </row>
    <row r="19" ht="17" customHeight="1">
      <c r="B19" s="17" t="n">
        <v>46158</v>
      </c>
      <c r="C19" s="11" t="n">
        <v>4.2</v>
      </c>
      <c r="D19" s="11" t="n">
        <v>0</v>
      </c>
      <c r="E19" s="11" t="n">
        <v>0</v>
      </c>
      <c r="F19" s="18" t="inlineStr">
        <is>
          <t>ไม่มี Order นำน้ำ HSW ไปผสมกากกับโปรตีน</t>
        </is>
      </c>
    </row>
    <row r="20" ht="17" customHeight="1">
      <c r="B20" s="17" t="n">
        <v>46159</v>
      </c>
      <c r="C20" s="11" t="n">
        <v>4.2</v>
      </c>
      <c r="D20" s="11" t="n">
        <v>0</v>
      </c>
      <c r="E20" s="11" t="n">
        <v>0</v>
      </c>
      <c r="F20" s="18" t="inlineStr">
        <is>
          <t>ไม่มี Order นำน้ำ HSW ไปผสมกากกับโปรตีน</t>
        </is>
      </c>
    </row>
    <row r="21" ht="17" customHeight="1">
      <c r="B21" s="17" t="n">
        <v>46160</v>
      </c>
      <c r="C21" s="11" t="n">
        <v>4.2</v>
      </c>
      <c r="D21" s="11" t="n">
        <v>0</v>
      </c>
      <c r="E21" s="11" t="n">
        <v>0</v>
      </c>
      <c r="F21" s="18" t="inlineStr">
        <is>
          <t>ไม่มี Order นำน้ำ HSW ไปผสมกากกับโปรตีน</t>
        </is>
      </c>
    </row>
    <row r="22" ht="17" customHeight="1">
      <c r="B22" s="17" t="n">
        <v>46161</v>
      </c>
      <c r="C22" s="11" t="n">
        <v>4.2</v>
      </c>
      <c r="D22" s="11" t="n">
        <v>0</v>
      </c>
      <c r="E22" s="11" t="n">
        <v>0</v>
      </c>
      <c r="F22" s="18" t="inlineStr">
        <is>
          <t>ไม่มี Order นำน้ำ HSW ไปผสมกากกับโปรตีน</t>
        </is>
      </c>
    </row>
    <row r="23" ht="17" customHeight="1">
      <c r="B23" s="17" t="n">
        <v>46162</v>
      </c>
      <c r="C23" s="11" t="n">
        <v>4.2</v>
      </c>
      <c r="D23" s="11" t="n">
        <v>0</v>
      </c>
      <c r="E23" s="11" t="n">
        <v>0</v>
      </c>
      <c r="F23" s="18" t="inlineStr">
        <is>
          <t>ไม่มี Order นำน้ำ HSW ไปผสมกากกับโปรตีน</t>
        </is>
      </c>
    </row>
    <row r="24" ht="17" customHeight="1">
      <c r="B24" s="17" t="n">
        <v>46163</v>
      </c>
      <c r="C24" s="11" t="n">
        <v>4.2</v>
      </c>
      <c r="D24" s="11" t="n">
        <v>0</v>
      </c>
      <c r="E24" s="11" t="n">
        <v>0</v>
      </c>
      <c r="F24" s="18" t="inlineStr">
        <is>
          <t>ไม่มี Order นำน้ำ HSW ไปผสมกากกับโปรตีน</t>
        </is>
      </c>
    </row>
    <row r="25" ht="17" customHeight="1">
      <c r="B25" s="17" t="n">
        <v>46164</v>
      </c>
      <c r="C25" s="11" t="n">
        <v>4.2</v>
      </c>
      <c r="D25" s="11" t="n">
        <v>0</v>
      </c>
      <c r="E25" s="11" t="n">
        <v>0</v>
      </c>
      <c r="F25" s="18" t="inlineStr">
        <is>
          <t>ไม่มี Order นำน้ำ HSW ไปผสมกากกับโปรตีน</t>
        </is>
      </c>
    </row>
    <row r="26" ht="17" customHeight="1">
      <c r="B26" s="17" t="n">
        <v>46165</v>
      </c>
      <c r="C26" s="11" t="n">
        <v>4.2</v>
      </c>
      <c r="D26" s="11" t="n">
        <v>0</v>
      </c>
      <c r="E26" s="11" t="n">
        <v>0</v>
      </c>
      <c r="F26" s="18" t="inlineStr">
        <is>
          <t>ไม่มี Order นำน้ำ HSW ไปผสมกากกับโปรตีน</t>
        </is>
      </c>
    </row>
    <row r="27" ht="17" customHeight="1">
      <c r="B27" s="17" t="n">
        <v>46166</v>
      </c>
      <c r="C27" s="11" t="n">
        <v>4.2</v>
      </c>
      <c r="D27" s="11" t="n">
        <v>0</v>
      </c>
      <c r="E27" s="11" t="n">
        <v>0</v>
      </c>
      <c r="F27" s="18" t="inlineStr">
        <is>
          <t>ไม่มี Order นำน้ำ HSW ไปผสมกากกับโปรตีน</t>
        </is>
      </c>
    </row>
    <row r="28" ht="17" customHeight="1">
      <c r="B28" s="17" t="n">
        <v>46167</v>
      </c>
      <c r="C28" s="11" t="n">
        <v>4.2</v>
      </c>
      <c r="D28" s="11" t="n">
        <v>0</v>
      </c>
      <c r="E28" s="11" t="n">
        <v>0</v>
      </c>
      <c r="F28" s="18" t="inlineStr">
        <is>
          <t>ไม่มี Order นำน้ำ HSW ไปผสมกากกับโปรตีน</t>
        </is>
      </c>
    </row>
    <row r="29" ht="17" customHeight="1">
      <c r="B29" s="17" t="n">
        <v>46168</v>
      </c>
      <c r="C29" s="11" t="n">
        <v>4.2</v>
      </c>
      <c r="D29" s="11" t="n">
        <v>0</v>
      </c>
      <c r="E29" s="11" t="n">
        <v>0</v>
      </c>
      <c r="F29" s="18" t="inlineStr">
        <is>
          <t>ไม่มี Order นำน้ำ HSW ไปผสมกากกับโปรตีน</t>
        </is>
      </c>
    </row>
    <row r="30" ht="17" customHeight="1">
      <c r="B30" s="17" t="n">
        <v>46169</v>
      </c>
      <c r="C30" s="11" t="n">
        <v>4.2</v>
      </c>
      <c r="D30" s="11" t="n">
        <v>0</v>
      </c>
      <c r="E30" s="11" t="n">
        <v>0</v>
      </c>
      <c r="F30" s="18" t="inlineStr">
        <is>
          <t>ไม่มี Order นำน้ำ HSW ไปผสมกากกับโปรตีน</t>
        </is>
      </c>
    </row>
    <row r="31" ht="17" customHeight="1">
      <c r="B31" s="17" t="n">
        <v>46170</v>
      </c>
      <c r="C31" s="11" t="n">
        <v>4.2</v>
      </c>
      <c r="D31" s="11" t="n">
        <v>0</v>
      </c>
      <c r="E31" s="11" t="n">
        <v>0</v>
      </c>
      <c r="F31" s="18" t="inlineStr">
        <is>
          <t>ไม่มี Order นำน้ำ HSW ไปผสมกากกับโปรตีน</t>
        </is>
      </c>
    </row>
    <row r="32" ht="17" customHeight="1">
      <c r="B32" s="17" t="n">
        <v>46171</v>
      </c>
      <c r="C32" s="11" t="n">
        <v>4.2</v>
      </c>
      <c r="D32" s="11" t="n">
        <v>0</v>
      </c>
      <c r="E32" s="11" t="n">
        <v>0</v>
      </c>
      <c r="F32" s="18" t="inlineStr">
        <is>
          <t>ไม่มี Order นำน้ำ HSW ไปผสมกากกับโปรตีน</t>
        </is>
      </c>
    </row>
    <row r="33" ht="17" customHeight="1">
      <c r="B33" s="17" t="n">
        <v>46172</v>
      </c>
      <c r="C33" s="11" t="n">
        <v>4.2</v>
      </c>
      <c r="D33" s="11" t="n">
        <v>0</v>
      </c>
      <c r="E33" s="11" t="n">
        <v>0</v>
      </c>
      <c r="F33" s="18" t="inlineStr">
        <is>
          <t>ไม่มี Order นำน้ำ HSW ไปผสมกากกับโปรตีน</t>
        </is>
      </c>
    </row>
    <row r="34" ht="17" customHeight="1">
      <c r="B34" s="17" t="n">
        <v>46173</v>
      </c>
      <c r="C34" s="11" t="n">
        <v>4.2</v>
      </c>
      <c r="D34" s="11" t="n">
        <v>0</v>
      </c>
      <c r="E34" s="11" t="n">
        <v>0</v>
      </c>
      <c r="F34" s="18" t="inlineStr">
        <is>
          <t>ไม่มี Order นำน้ำ HSW ไปผสมกากกับโปรตีน</t>
        </is>
      </c>
    </row>
    <row r="35" ht="21" customHeight="1">
      <c r="B35" s="12" t="inlineStr">
        <is>
          <t>ยอดรวม</t>
        </is>
      </c>
      <c r="C35" s="13">
        <f>SUM(C4:C34)</f>
        <v/>
      </c>
      <c r="D35" s="14">
        <f>SUM(D4:D34)</f>
        <v/>
      </c>
      <c r="E35" s="14" t="n">
        <v>0</v>
      </c>
      <c r="F35" s="15" t="inlineStr">
        <is>
          <t xml:space="preserve"> -</t>
        </is>
      </c>
    </row>
  </sheetData>
  <pageMargins left="0.25" right="0.25" top="0.75" bottom="0.75" header="0.3" footer="0.3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Theerachai Chaykeaw</dc:creator>
  <dcterms:created xsi:type="dcterms:W3CDTF">2026-06-02T01:50:05Z</dcterms:created>
  <dcterms:modified xsi:type="dcterms:W3CDTF">2026-06-03T13:04:13Z</dcterms:modified>
  <cp:lastModifiedBy>Theerachai Chaykeaw</cp:lastModifiedBy>
</cp:coreProperties>
</file>